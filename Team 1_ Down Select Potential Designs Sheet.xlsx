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3"/>
    <sheet state="visible" name="Average" sheetId="2" r:id="rId4"/>
    <sheet state="visible" name="Spider Chart" sheetId="3" r:id="rId5"/>
    <sheet state="visible" name="Spider Chart for Design" sheetId="4" r:id="rId6"/>
    <sheet state="visible" name="Copia de Spider Chart for Desig" sheetId="5" r:id="rId7"/>
  </sheets>
  <definedNames>
    <definedName name="NamedRange1">'Spider Chart for Design'!$A$1:$A$4</definedName>
    <definedName localSheetId="4" name="NamedRange1">'Copia de Spider Chart for Desig'!$A$1:$A$4</definedName>
  </definedNames>
  <calcPr/>
</workbook>
</file>

<file path=xl/sharedStrings.xml><?xml version="1.0" encoding="utf-8"?>
<sst xmlns="http://schemas.openxmlformats.org/spreadsheetml/2006/main" count="114" uniqueCount="57">
  <si>
    <t xml:space="preserve">POTENTIAL DESIGN DOWN SELECT CRITERIA </t>
  </si>
  <si>
    <t xml:space="preserve">Potential Designs </t>
  </si>
  <si>
    <t>BioBloom (A)</t>
  </si>
  <si>
    <t>InfiniShop (B)</t>
  </si>
  <si>
    <t>AquaChain (C)</t>
  </si>
  <si>
    <t xml:space="preserve">Ability to meet requirements </t>
  </si>
  <si>
    <t xml:space="preserve">Design Quality </t>
  </si>
  <si>
    <t>Performance</t>
  </si>
  <si>
    <t>Legend</t>
  </si>
  <si>
    <t xml:space="preserve">Reliability </t>
  </si>
  <si>
    <t>Low</t>
  </si>
  <si>
    <t xml:space="preserve">Features </t>
  </si>
  <si>
    <t>Compliance to Specifications</t>
  </si>
  <si>
    <t>Medium</t>
  </si>
  <si>
    <t xml:space="preserve">Durability </t>
  </si>
  <si>
    <t>Serviceability</t>
  </si>
  <si>
    <t>High</t>
  </si>
  <si>
    <t xml:space="preserve">Visual appeal </t>
  </si>
  <si>
    <t xml:space="preserve">Perception </t>
  </si>
  <si>
    <t>The rationale behind the numerical ratings for each concept across various parameters is based on their perceived strengths and challenges derived from the descriptions and analyses provided:</t>
  </si>
  <si>
    <t xml:space="preserve">Inputs </t>
  </si>
  <si>
    <t>- BioBloom (A): Rated highly across most parameters due to its innovative approach to healthcare, enhancing patient convenience, reliability, and compliance with healthcare standards. The high ratings reflect its potential to significantly improve healthcare delivery and patient outcomes.</t>
  </si>
  <si>
    <t>Availablity of materials</t>
  </si>
  <si>
    <t xml:space="preserve">Cost of materials </t>
  </si>
  <si>
    <t>- InfiniShop (B): Receives moderate to high ratings, recognizing its innovative use of AR technology to enhance online shopping experiences. It scores lower in reliability and serviceability due to potential technological complexities and user adoption barriers. Higher input costs reflect the investment in AR/VR technology.</t>
  </si>
  <si>
    <t xml:space="preserve">SW </t>
  </si>
  <si>
    <t xml:space="preserve">Tooling </t>
  </si>
  <si>
    <t>- AquaChain (C): Scores highly in areas related to its innovative use of blockchain for water management, indicating strong performance, reliability, and impact on sustainability. It has high infrastructure readiness but faces challenges in logistics and distribution, affecting its ratings in those areas.</t>
  </si>
  <si>
    <t>Equipment (Complexity)</t>
  </si>
  <si>
    <t>Facilities (Complexity)</t>
  </si>
  <si>
    <t>These ratings consider the concepts' potential impact, technological innovation, market readiness, and the challenges they might face in implementation and adoption.</t>
  </si>
  <si>
    <t>Staff (Complexity)</t>
  </si>
  <si>
    <t xml:space="preserve">Cost of Inputs </t>
  </si>
  <si>
    <t>(Others)</t>
  </si>
  <si>
    <t xml:space="preserve"> </t>
  </si>
  <si>
    <t xml:space="preserve">Transformation </t>
  </si>
  <si>
    <t>Manufacturability</t>
  </si>
  <si>
    <t xml:space="preserve">Ease of Integration </t>
  </si>
  <si>
    <t xml:space="preserve">Management competency </t>
  </si>
  <si>
    <t xml:space="preserve">Staff competency </t>
  </si>
  <si>
    <t xml:space="preserve">Infrastructure Readiness </t>
  </si>
  <si>
    <t>Cost of manufacturing</t>
  </si>
  <si>
    <t>(others)</t>
  </si>
  <si>
    <t xml:space="preserve">Output </t>
  </si>
  <si>
    <t xml:space="preserve">Transportability </t>
  </si>
  <si>
    <t>Logistics</t>
  </si>
  <si>
    <t xml:space="preserve">Infrastructure </t>
  </si>
  <si>
    <t>Distribution Channels</t>
  </si>
  <si>
    <t xml:space="preserve">Cost of Maintenance </t>
  </si>
  <si>
    <t xml:space="preserve">Customer lifecycle cost </t>
  </si>
  <si>
    <t xml:space="preserve">Manufacturer lifecycle cost </t>
  </si>
  <si>
    <t xml:space="preserve">(Others)  </t>
  </si>
  <si>
    <t>Average</t>
  </si>
  <si>
    <t>Cost Comparison</t>
  </si>
  <si>
    <t>Complexity</t>
  </si>
  <si>
    <t>Miscellaneous</t>
  </si>
  <si>
    <t>AVERAGE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</si>
</sst>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6">
    <font>
      <sz val="10.0"/>
      <color rgb="FF000000"/>
      <name val="Arial"/>
    </font>
    <font>
      <b/>
    </font>
    <font/>
    <font>
      <sz val="11.0"/>
    </font>
    <font>
      <name val="Roboto"/>
    </font>
    <font>
      <name val="Ubuntu"/>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vertical="bottom"/>
    </xf>
    <xf borderId="0" fillId="0" fontId="4" numFmtId="164" xfId="0" applyAlignment="1" applyFont="1" applyNumberFormat="1">
      <alignment horizontal="right" readingOrder="0" vertical="bottom"/>
    </xf>
    <xf borderId="0" fillId="0" fontId="5" numFmtId="0" xfId="0" applyAlignment="1" applyFont="1">
      <alignment vertical="bottom"/>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600">
                <a:solidFill>
                  <a:srgbClr val="000000"/>
                </a:solidFill>
                <a:latin typeface="Roboto"/>
              </a:defRPr>
            </a:pPr>
            <a:r>
              <a:rPr b="1" sz="3600">
                <a:solidFill>
                  <a:srgbClr val="000000"/>
                </a:solidFill>
                <a:latin typeface="Roboto"/>
              </a:rPr>
              <a:t>Potential Concepts Comparison</a:t>
            </a:r>
          </a:p>
        </c:rich>
      </c:tx>
      <c:overlay val="0"/>
    </c:title>
    <c:plotArea>
      <c:layout/>
      <c:radarChart>
        <c:radarStyle val="marker"/>
        <c:ser>
          <c:idx val="0"/>
          <c:order val="0"/>
          <c:tx>
            <c:strRef>
              <c:f>Main!$C$2</c:f>
            </c:strRef>
          </c:tx>
          <c:spPr>
            <a:ln cmpd="sng" w="76200">
              <a:solidFill>
                <a:srgbClr val="FF9900">
                  <a:alpha val="100000"/>
                </a:srgbClr>
              </a:solidFill>
            </a:ln>
          </c:spPr>
          <c:marker>
            <c:symbol val="circle"/>
            <c:size val="14"/>
            <c:spPr>
              <a:solidFill>
                <a:srgbClr val="FF9900">
                  <a:alpha val="100000"/>
                </a:srgbClr>
              </a:solidFill>
              <a:ln cmpd="sng">
                <a:solidFill>
                  <a:srgbClr val="FF9900">
                    <a:alpha val="100000"/>
                  </a:srgbClr>
                </a:solidFill>
              </a:ln>
            </c:spPr>
          </c:marker>
          <c:cat>
            <c:strRef>
              <c:f>Main!$B$3:$B$43</c:f>
            </c:strRef>
          </c:cat>
          <c:val>
            <c:numRef>
              <c:f>Main!$C$3:$C$43</c:f>
              <c:numCache/>
            </c:numRef>
          </c:val>
          <c:smooth val="1"/>
        </c:ser>
        <c:ser>
          <c:idx val="1"/>
          <c:order val="1"/>
          <c:tx>
            <c:strRef>
              <c:f>Main!$D$2</c:f>
            </c:strRef>
          </c:tx>
          <c:spPr>
            <a:ln cmpd="sng" w="76200">
              <a:solidFill>
                <a:srgbClr val="F1C232">
                  <a:alpha val="100000"/>
                </a:srgbClr>
              </a:solidFill>
            </a:ln>
          </c:spPr>
          <c:marker>
            <c:symbol val="circle"/>
            <c:size val="14"/>
            <c:spPr>
              <a:solidFill>
                <a:srgbClr val="F1C232">
                  <a:alpha val="100000"/>
                </a:srgbClr>
              </a:solidFill>
              <a:ln cmpd="sng">
                <a:solidFill>
                  <a:srgbClr val="F1C232">
                    <a:alpha val="100000"/>
                  </a:srgbClr>
                </a:solidFill>
              </a:ln>
            </c:spPr>
          </c:marker>
          <c:cat>
            <c:strRef>
              <c:f>Main!$B$3:$B$43</c:f>
            </c:strRef>
          </c:cat>
          <c:val>
            <c:numRef>
              <c:f>Main!$D$3:$D$43</c:f>
              <c:numCache/>
            </c:numRef>
          </c:val>
          <c:smooth val="1"/>
        </c:ser>
        <c:ser>
          <c:idx val="2"/>
          <c:order val="2"/>
          <c:tx>
            <c:strRef>
              <c:f>Main!$E$2</c:f>
            </c:strRef>
          </c:tx>
          <c:spPr>
            <a:ln cmpd="sng" w="76200">
              <a:solidFill>
                <a:srgbClr val="9900FF">
                  <a:alpha val="100000"/>
                </a:srgbClr>
              </a:solidFill>
            </a:ln>
          </c:spPr>
          <c:marker>
            <c:symbol val="circle"/>
            <c:size val="14"/>
            <c:spPr>
              <a:solidFill>
                <a:srgbClr val="9900FF">
                  <a:alpha val="100000"/>
                </a:srgbClr>
              </a:solidFill>
              <a:ln cmpd="sng">
                <a:solidFill>
                  <a:srgbClr val="9900FF">
                    <a:alpha val="100000"/>
                  </a:srgbClr>
                </a:solidFill>
              </a:ln>
            </c:spPr>
          </c:marker>
          <c:cat>
            <c:strRef>
              <c:f>Main!$B$3:$B$43</c:f>
            </c:strRef>
          </c:cat>
          <c:val>
            <c:numRef>
              <c:f>Main!$E$3:$E$43</c:f>
              <c:numCache/>
            </c:numRef>
          </c:val>
          <c:smooth val="1"/>
        </c:ser>
        <c:axId val="1987523792"/>
        <c:axId val="470366840"/>
      </c:radarChart>
      <c:catAx>
        <c:axId val="198752379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470366840"/>
      </c:catAx>
      <c:valAx>
        <c:axId val="4703668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87523792"/>
      </c:valAx>
    </c:plotArea>
    <c:legend>
      <c:legendPos val="l"/>
      <c:overlay val="0"/>
      <c:txPr>
        <a:bodyPr/>
        <a:lstStyle/>
        <a:p>
          <a:pPr lvl="0">
            <a:defRPr b="1" i="0" sz="2000">
              <a:solidFill>
                <a:srgbClr val="000000"/>
              </a:solidFill>
              <a:latin typeface="Roboto"/>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3600">
                <a:solidFill>
                  <a:srgbClr val="000000"/>
                </a:solidFill>
                <a:latin typeface="Arial"/>
              </a:defRPr>
            </a:pPr>
            <a:r>
              <a:rPr b="1" i="1" sz="3600">
                <a:solidFill>
                  <a:srgbClr val="000000"/>
                </a:solidFill>
                <a:latin typeface="Arial"/>
              </a:rPr>
              <a:t>Criteria - Design</a:t>
            </a:r>
          </a:p>
        </c:rich>
      </c:tx>
      <c:overlay val="0"/>
    </c:title>
    <c:plotArea>
      <c:layout/>
      <c:radarChart>
        <c:radarStyle val="marker"/>
        <c:ser>
          <c:idx val="0"/>
          <c:order val="0"/>
          <c:tx>
            <c:strRef>
              <c:f>Main!$C$2</c:f>
            </c:strRef>
          </c:tx>
          <c:spPr>
            <a:ln cmpd="sng" w="76200">
              <a:solidFill>
                <a:srgbClr val="FF9900">
                  <a:alpha val="100000"/>
                </a:srgbClr>
              </a:solidFill>
            </a:ln>
          </c:spPr>
          <c:marker>
            <c:symbol val="circle"/>
            <c:size val="14"/>
            <c:spPr>
              <a:solidFill>
                <a:srgbClr val="FF9900">
                  <a:alpha val="100000"/>
                </a:srgbClr>
              </a:solidFill>
              <a:ln cmpd="sng">
                <a:solidFill>
                  <a:srgbClr val="FF9900">
                    <a:alpha val="100000"/>
                  </a:srgbClr>
                </a:solidFill>
              </a:ln>
            </c:spPr>
          </c:marker>
          <c:cat>
            <c:strRef>
              <c:f>Main!$B$3:$B$14</c:f>
            </c:strRef>
          </c:cat>
          <c:val>
            <c:numRef>
              <c:f>Main!$C$3:$C$14</c:f>
              <c:numCache/>
            </c:numRef>
          </c:val>
          <c:smooth val="1"/>
        </c:ser>
        <c:ser>
          <c:idx val="1"/>
          <c:order val="1"/>
          <c:tx>
            <c:strRef>
              <c:f>Main!$D$2</c:f>
            </c:strRef>
          </c:tx>
          <c:spPr>
            <a:ln cmpd="sng" w="76200">
              <a:solidFill>
                <a:srgbClr val="F1C232">
                  <a:alpha val="100000"/>
                </a:srgbClr>
              </a:solidFill>
              <a:prstDash val="solid"/>
            </a:ln>
          </c:spPr>
          <c:marker>
            <c:symbol val="circle"/>
            <c:size val="14"/>
            <c:spPr>
              <a:solidFill>
                <a:srgbClr val="F1C232">
                  <a:alpha val="100000"/>
                </a:srgbClr>
              </a:solidFill>
              <a:ln cmpd="sng">
                <a:solidFill>
                  <a:srgbClr val="F1C232">
                    <a:alpha val="100000"/>
                  </a:srgbClr>
                </a:solidFill>
              </a:ln>
            </c:spPr>
          </c:marker>
          <c:cat>
            <c:strRef>
              <c:f>Main!$B$3:$B$14</c:f>
            </c:strRef>
          </c:cat>
          <c:val>
            <c:numRef>
              <c:f>Main!$D$3:$D$14</c:f>
              <c:numCache/>
            </c:numRef>
          </c:val>
          <c:smooth val="1"/>
        </c:ser>
        <c:ser>
          <c:idx val="2"/>
          <c:order val="2"/>
          <c:tx>
            <c:strRef>
              <c:f>Main!$E$2</c:f>
            </c:strRef>
          </c:tx>
          <c:spPr>
            <a:ln cmpd="sng" w="76200">
              <a:solidFill>
                <a:srgbClr val="9900FF">
                  <a:alpha val="100000"/>
                </a:srgbClr>
              </a:solidFill>
            </a:ln>
          </c:spPr>
          <c:marker>
            <c:symbol val="circle"/>
            <c:size val="14"/>
            <c:spPr>
              <a:solidFill>
                <a:srgbClr val="9900FF">
                  <a:alpha val="100000"/>
                </a:srgbClr>
              </a:solidFill>
              <a:ln cmpd="sng">
                <a:solidFill>
                  <a:srgbClr val="9900FF">
                    <a:alpha val="100000"/>
                  </a:srgbClr>
                </a:solidFill>
              </a:ln>
            </c:spPr>
          </c:marker>
          <c:cat>
            <c:strRef>
              <c:f>Main!$B$3:$B$14</c:f>
            </c:strRef>
          </c:cat>
          <c:val>
            <c:numRef>
              <c:f>Main!$E$3:$E$14</c:f>
              <c:numCache/>
            </c:numRef>
          </c:val>
          <c:smooth val="1"/>
        </c:ser>
        <c:axId val="1826693393"/>
        <c:axId val="1894993895"/>
      </c:radarChart>
      <c:catAx>
        <c:axId val="182669339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894993895"/>
      </c:catAx>
      <c:valAx>
        <c:axId val="1894993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26693393"/>
      </c:valAx>
    </c:plotArea>
    <c:legend>
      <c:legendPos val="l"/>
      <c:overlay val="0"/>
      <c:txPr>
        <a:bodyPr/>
        <a:lstStyle/>
        <a:p>
          <a:pPr lvl="0">
            <a:defRPr b="1" i="0" sz="2400">
              <a:solidFill>
                <a:srgbClr val="000000"/>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Manufacturability, Ease of Integration , Management competency , Staff competency , Infrastructure Readiness …</a:t>
            </a:r>
          </a:p>
        </c:rich>
      </c:tx>
      <c:overlay val="0"/>
    </c:title>
    <c:plotArea>
      <c:layout/>
      <c:radarChart>
        <c:radarStyle val="marker"/>
        <c:ser>
          <c:idx val="0"/>
          <c:order val="0"/>
          <c:tx>
            <c:strRef>
              <c:f>Main!$A$27:$B$27</c:f>
            </c:strRef>
          </c:tx>
          <c:spPr>
            <a:ln cmpd="sng">
              <a:solidFill>
                <a:srgbClr val="4285F4"/>
              </a:solidFill>
            </a:ln>
          </c:spPr>
          <c:marker>
            <c:symbol val="none"/>
          </c:marker>
          <c:cat>
            <c:strRef>
              <c:f>Main!$C$26:$E$26</c:f>
            </c:strRef>
          </c:cat>
          <c:val>
            <c:numRef>
              <c:f>Main!$C$27:$E$27</c:f>
              <c:numCache/>
            </c:numRef>
          </c:val>
          <c:smooth val="1"/>
        </c:ser>
        <c:ser>
          <c:idx val="1"/>
          <c:order val="1"/>
          <c:tx>
            <c:strRef>
              <c:f>Main!$A$28:$B$28</c:f>
            </c:strRef>
          </c:tx>
          <c:spPr>
            <a:ln cmpd="sng">
              <a:solidFill>
                <a:srgbClr val="DB4437"/>
              </a:solidFill>
            </a:ln>
          </c:spPr>
          <c:marker>
            <c:symbol val="none"/>
          </c:marker>
          <c:cat>
            <c:strRef>
              <c:f>Main!$C$26:$E$26</c:f>
            </c:strRef>
          </c:cat>
          <c:val>
            <c:numRef>
              <c:f>Main!$C$28:$E$28</c:f>
              <c:numCache/>
            </c:numRef>
          </c:val>
          <c:smooth val="1"/>
        </c:ser>
        <c:ser>
          <c:idx val="2"/>
          <c:order val="2"/>
          <c:tx>
            <c:strRef>
              <c:f>Main!$A$29:$B$29</c:f>
            </c:strRef>
          </c:tx>
          <c:spPr>
            <a:ln cmpd="sng">
              <a:solidFill>
                <a:srgbClr val="F4B400"/>
              </a:solidFill>
            </a:ln>
          </c:spPr>
          <c:marker>
            <c:symbol val="none"/>
          </c:marker>
          <c:cat>
            <c:strRef>
              <c:f>Main!$C$26:$E$26</c:f>
            </c:strRef>
          </c:cat>
          <c:val>
            <c:numRef>
              <c:f>Main!$C$29:$E$29</c:f>
              <c:numCache/>
            </c:numRef>
          </c:val>
          <c:smooth val="1"/>
        </c:ser>
        <c:ser>
          <c:idx val="3"/>
          <c:order val="3"/>
          <c:tx>
            <c:strRef>
              <c:f>Main!$A$30:$B$30</c:f>
            </c:strRef>
          </c:tx>
          <c:spPr>
            <a:ln cmpd="sng">
              <a:solidFill>
                <a:srgbClr val="0F9D58"/>
              </a:solidFill>
            </a:ln>
          </c:spPr>
          <c:marker>
            <c:symbol val="none"/>
          </c:marker>
          <c:cat>
            <c:strRef>
              <c:f>Main!$C$26:$E$26</c:f>
            </c:strRef>
          </c:cat>
          <c:val>
            <c:numRef>
              <c:f>Main!$C$30:$E$30</c:f>
              <c:numCache/>
            </c:numRef>
          </c:val>
          <c:smooth val="1"/>
        </c:ser>
        <c:ser>
          <c:idx val="4"/>
          <c:order val="4"/>
          <c:tx>
            <c:strRef>
              <c:f>Main!$A$31:$B$31</c:f>
            </c:strRef>
          </c:tx>
          <c:spPr>
            <a:ln cmpd="sng">
              <a:solidFill>
                <a:srgbClr val="FF6D00"/>
              </a:solidFill>
            </a:ln>
          </c:spPr>
          <c:marker>
            <c:symbol val="none"/>
          </c:marker>
          <c:cat>
            <c:strRef>
              <c:f>Main!$C$26:$E$26</c:f>
            </c:strRef>
          </c:cat>
          <c:val>
            <c:numRef>
              <c:f>Main!$C$31:$E$31</c:f>
              <c:numCache/>
            </c:numRef>
          </c:val>
          <c:smooth val="1"/>
        </c:ser>
        <c:ser>
          <c:idx val="5"/>
          <c:order val="5"/>
          <c:tx>
            <c:strRef>
              <c:f>Main!$A$32:$B$32</c:f>
            </c:strRef>
          </c:tx>
          <c:spPr>
            <a:ln cmpd="sng">
              <a:solidFill>
                <a:srgbClr val="46BDC6"/>
              </a:solidFill>
            </a:ln>
          </c:spPr>
          <c:marker>
            <c:symbol val="none"/>
          </c:marker>
          <c:cat>
            <c:strRef>
              <c:f>Main!$C$26:$E$26</c:f>
            </c:strRef>
          </c:cat>
          <c:val>
            <c:numRef>
              <c:f>Main!$C$32:$E$32</c:f>
              <c:numCache/>
            </c:numRef>
          </c:val>
          <c:smooth val="1"/>
        </c:ser>
        <c:axId val="1088253811"/>
        <c:axId val="1742948111"/>
      </c:radarChart>
      <c:catAx>
        <c:axId val="108825381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Transformation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42948111"/>
      </c:catAx>
      <c:valAx>
        <c:axId val="1742948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88253811"/>
      </c:valAx>
    </c:plotArea>
    <c:legend>
      <c:legendPos val="r"/>
      <c:overlay val="0"/>
      <c:txPr>
        <a:bodyPr/>
        <a:lstStyle/>
        <a:p>
          <a:pPr lvl="0">
            <a:defRPr b="0">
              <a:solidFill>
                <a:srgbClr val="000000"/>
              </a:solidFill>
              <a:latin typeface="Roboto"/>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57150</xdr:rowOff>
    </xdr:from>
    <xdr:ext cx="25060275" cy="15487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xdr:row>
      <xdr:rowOff>161925</xdr:rowOff>
    </xdr:from>
    <xdr:ext cx="10372725" cy="64198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xdr:row>
      <xdr:rowOff>161925</xdr:rowOff>
    </xdr:from>
    <xdr:ext cx="10753725" cy="66484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4" width="13.88"/>
    <col customWidth="1" min="8" max="8" width="21.0"/>
  </cols>
  <sheetData>
    <row r="1">
      <c r="B1" s="1" t="s">
        <v>0</v>
      </c>
      <c r="C1" s="1"/>
      <c r="D1" s="1"/>
      <c r="E1" s="1"/>
    </row>
    <row r="2">
      <c r="B2" s="1" t="s">
        <v>1</v>
      </c>
      <c r="C2" s="1" t="s">
        <v>2</v>
      </c>
      <c r="D2" s="1" t="s">
        <v>3</v>
      </c>
      <c r="E2" s="2" t="s">
        <v>4</v>
      </c>
    </row>
    <row r="3">
      <c r="B3" t="s">
        <v>5</v>
      </c>
      <c r="C3" s="3">
        <v>3.0</v>
      </c>
      <c r="D3" s="3">
        <v>3.0</v>
      </c>
      <c r="E3" s="3">
        <v>4.0</v>
      </c>
    </row>
    <row r="4">
      <c r="B4" t="s">
        <v>6</v>
      </c>
      <c r="C4" s="3">
        <v>3.0</v>
      </c>
      <c r="D4" s="3">
        <v>2.0</v>
      </c>
      <c r="E4">
        <v>5.0</v>
      </c>
    </row>
    <row r="5">
      <c r="B5" t="s">
        <v>7</v>
      </c>
      <c r="C5" s="4">
        <v>3.0</v>
      </c>
      <c r="D5">
        <v>4.0</v>
      </c>
      <c r="E5">
        <v>5.0</v>
      </c>
      <c r="H5" s="2" t="s">
        <v>8</v>
      </c>
    </row>
    <row r="6">
      <c r="B6" t="s">
        <v>9</v>
      </c>
      <c r="C6" s="3">
        <v>4.0</v>
      </c>
      <c r="D6" s="3">
        <v>3.0</v>
      </c>
      <c r="E6" s="3">
        <v>4.0</v>
      </c>
      <c r="G6">
        <v>1.0</v>
      </c>
      <c r="H6" t="s">
        <v>10</v>
      </c>
    </row>
    <row r="7">
      <c r="B7" t="s">
        <v>11</v>
      </c>
      <c r="C7" s="3">
        <v>3.0</v>
      </c>
      <c r="D7" s="3">
        <v>4.0</v>
      </c>
      <c r="E7">
        <v>5.0</v>
      </c>
      <c r="G7">
        <v>2.0</v>
      </c>
    </row>
    <row r="8">
      <c r="B8" t="s">
        <v>12</v>
      </c>
      <c r="C8" s="4">
        <v>3.0</v>
      </c>
      <c r="D8">
        <v>4.0</v>
      </c>
      <c r="E8">
        <v>5.0</v>
      </c>
      <c r="G8">
        <v>3.0</v>
      </c>
      <c r="H8" t="s">
        <v>13</v>
      </c>
    </row>
    <row r="9">
      <c r="B9" s="3" t="s">
        <v>14</v>
      </c>
      <c r="C9" s="4">
        <v>4.0</v>
      </c>
      <c r="D9">
        <v>3.0</v>
      </c>
      <c r="E9" s="3">
        <v>4.0</v>
      </c>
      <c r="G9">
        <v>4.0</v>
      </c>
    </row>
    <row r="10">
      <c r="B10" t="s">
        <v>15</v>
      </c>
      <c r="C10" s="4">
        <v>2.0</v>
      </c>
      <c r="D10">
        <v>3.0</v>
      </c>
      <c r="E10" s="3">
        <v>4.0</v>
      </c>
      <c r="G10">
        <v>5.0</v>
      </c>
      <c r="H10" t="s">
        <v>16</v>
      </c>
    </row>
    <row r="11">
      <c r="B11" t="s">
        <v>17</v>
      </c>
      <c r="C11" s="3">
        <v>4.0</v>
      </c>
      <c r="D11" s="3">
        <v>4.0</v>
      </c>
      <c r="E11">
        <v>3.0</v>
      </c>
    </row>
    <row r="12">
      <c r="B12" s="3" t="s">
        <v>18</v>
      </c>
      <c r="C12" s="3">
        <v>4.0</v>
      </c>
      <c r="D12">
        <v>4.0</v>
      </c>
      <c r="E12" s="3">
        <v>3.0</v>
      </c>
    </row>
    <row r="13">
      <c r="H13" t="s">
        <v>19</v>
      </c>
    </row>
    <row r="15">
      <c r="B15" s="1" t="s">
        <v>20</v>
      </c>
      <c r="H15" s="3" t="s">
        <v>21</v>
      </c>
    </row>
    <row r="16">
      <c r="B16" t="s">
        <v>22</v>
      </c>
      <c r="C16" s="3">
        <v>3.0</v>
      </c>
      <c r="D16" s="3">
        <v>5.0</v>
      </c>
      <c r="E16" s="3">
        <v>3.0</v>
      </c>
    </row>
    <row r="17">
      <c r="B17" t="s">
        <v>23</v>
      </c>
      <c r="C17" s="3">
        <v>5.0</v>
      </c>
      <c r="D17" s="3">
        <v>2.0</v>
      </c>
      <c r="E17">
        <v>3.0</v>
      </c>
      <c r="H17" s="3" t="s">
        <v>24</v>
      </c>
    </row>
    <row r="18">
      <c r="B18" t="s">
        <v>25</v>
      </c>
      <c r="C18" s="3">
        <v>3.0</v>
      </c>
      <c r="D18" s="3">
        <v>5.0</v>
      </c>
      <c r="E18" s="3">
        <v>3.0</v>
      </c>
    </row>
    <row r="19">
      <c r="B19" t="s">
        <v>26</v>
      </c>
      <c r="C19" s="3">
        <v>5.0</v>
      </c>
      <c r="D19" s="3">
        <v>2.0</v>
      </c>
      <c r="E19" s="3">
        <v>3.0</v>
      </c>
      <c r="H19" s="3" t="s">
        <v>27</v>
      </c>
    </row>
    <row r="20">
      <c r="B20" s="3" t="s">
        <v>28</v>
      </c>
      <c r="C20" s="3">
        <v>5.0</v>
      </c>
      <c r="D20" s="3">
        <v>2.0</v>
      </c>
      <c r="E20" s="3">
        <v>3.0</v>
      </c>
    </row>
    <row r="21">
      <c r="B21" s="3" t="s">
        <v>29</v>
      </c>
      <c r="C21" s="3">
        <v>5.0</v>
      </c>
      <c r="D21" s="3">
        <v>2.0</v>
      </c>
      <c r="E21" s="3">
        <v>5.0</v>
      </c>
      <c r="H21" t="s">
        <v>30</v>
      </c>
    </row>
    <row r="22">
      <c r="B22" s="3" t="s">
        <v>31</v>
      </c>
      <c r="C22" s="3">
        <v>5.0</v>
      </c>
      <c r="D22" s="3">
        <v>3.0</v>
      </c>
      <c r="E22" s="3">
        <v>5.0</v>
      </c>
    </row>
    <row r="23">
      <c r="B23" t="s">
        <v>32</v>
      </c>
      <c r="C23" s="3">
        <v>5.0</v>
      </c>
      <c r="D23" s="3">
        <v>2.0</v>
      </c>
      <c r="E23" s="3">
        <v>5.0</v>
      </c>
    </row>
    <row r="24">
      <c r="B24" t="s">
        <v>33</v>
      </c>
    </row>
    <row r="25">
      <c r="C25" s="3" t="s">
        <v>34</v>
      </c>
    </row>
    <row r="26">
      <c r="B26" s="1" t="s">
        <v>35</v>
      </c>
      <c r="C26" s="1" t="s">
        <v>2</v>
      </c>
      <c r="D26" s="1" t="s">
        <v>3</v>
      </c>
      <c r="E26" s="2" t="s">
        <v>4</v>
      </c>
    </row>
    <row r="27">
      <c r="B27" t="s">
        <v>36</v>
      </c>
      <c r="C27">
        <v>5.0</v>
      </c>
      <c r="D27">
        <v>3.0</v>
      </c>
      <c r="E27">
        <v>5.0</v>
      </c>
    </row>
    <row r="28">
      <c r="B28" t="s">
        <v>37</v>
      </c>
      <c r="C28">
        <v>5.0</v>
      </c>
      <c r="D28">
        <v>3.0</v>
      </c>
      <c r="E28">
        <v>5.0</v>
      </c>
    </row>
    <row r="29">
      <c r="B29" t="s">
        <v>38</v>
      </c>
      <c r="C29">
        <v>4.0</v>
      </c>
      <c r="D29">
        <v>4.0</v>
      </c>
      <c r="E29">
        <v>4.0</v>
      </c>
    </row>
    <row r="30">
      <c r="B30" t="s">
        <v>39</v>
      </c>
      <c r="C30">
        <v>5.0</v>
      </c>
      <c r="D30">
        <v>3.0</v>
      </c>
      <c r="E30">
        <v>5.0</v>
      </c>
    </row>
    <row r="31">
      <c r="B31" t="s">
        <v>40</v>
      </c>
      <c r="C31">
        <v>4.0</v>
      </c>
      <c r="D31">
        <v>3.0</v>
      </c>
      <c r="E31">
        <v>5.0</v>
      </c>
    </row>
    <row r="32">
      <c r="B32" t="s">
        <v>41</v>
      </c>
      <c r="C32">
        <v>3.0</v>
      </c>
      <c r="D32">
        <v>4.0</v>
      </c>
      <c r="E32">
        <v>3.0</v>
      </c>
    </row>
    <row r="33">
      <c r="B33" t="s">
        <v>42</v>
      </c>
    </row>
    <row r="35">
      <c r="B35" s="1" t="s">
        <v>43</v>
      </c>
    </row>
    <row r="36">
      <c r="B36" t="s">
        <v>44</v>
      </c>
      <c r="C36" s="3">
        <v>3.0</v>
      </c>
      <c r="D36" s="3">
        <v>2.0</v>
      </c>
      <c r="E36" s="3">
        <v>5.0</v>
      </c>
    </row>
    <row r="37">
      <c r="B37" t="s">
        <v>45</v>
      </c>
      <c r="C37" s="3">
        <v>3.0</v>
      </c>
      <c r="D37" s="3">
        <v>5.0</v>
      </c>
      <c r="E37" s="3">
        <v>5.0</v>
      </c>
    </row>
    <row r="38">
      <c r="B38" t="s">
        <v>46</v>
      </c>
      <c r="C38" s="3">
        <v>3.0</v>
      </c>
      <c r="D38" s="3">
        <v>5.0</v>
      </c>
      <c r="E38">
        <v>5.0</v>
      </c>
    </row>
    <row r="39">
      <c r="B39" t="s">
        <v>47</v>
      </c>
      <c r="C39" s="3">
        <v>3.0</v>
      </c>
      <c r="D39" s="3">
        <v>2.0</v>
      </c>
      <c r="E39" s="3">
        <v>5.0</v>
      </c>
    </row>
    <row r="40">
      <c r="B40" t="s">
        <v>48</v>
      </c>
      <c r="C40" s="3">
        <v>5.0</v>
      </c>
      <c r="D40">
        <v>2.0</v>
      </c>
      <c r="E40" s="3">
        <v>3.0</v>
      </c>
    </row>
    <row r="41">
      <c r="B41" t="s">
        <v>49</v>
      </c>
      <c r="C41" s="3">
        <v>3.0</v>
      </c>
      <c r="D41" s="3">
        <v>2.0</v>
      </c>
      <c r="E41" s="3">
        <v>5.0</v>
      </c>
    </row>
    <row r="42">
      <c r="B42" t="s">
        <v>50</v>
      </c>
      <c r="C42">
        <v>3.0</v>
      </c>
      <c r="D42" s="3">
        <v>3.0</v>
      </c>
      <c r="E42" s="3">
        <v>5.0</v>
      </c>
    </row>
    <row r="43">
      <c r="B43" s="3" t="s">
        <v>51</v>
      </c>
      <c r="C43" s="3">
        <v>5.0</v>
      </c>
      <c r="D43" s="3">
        <v>3.0</v>
      </c>
      <c r="E43" s="3">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 customWidth="1" min="9" max="9" width="21.25"/>
  </cols>
  <sheetData>
    <row r="4">
      <c r="C4" s="1" t="s">
        <v>1</v>
      </c>
      <c r="D4" s="1" t="s">
        <v>2</v>
      </c>
      <c r="E4" s="1" t="s">
        <v>3</v>
      </c>
      <c r="F4" s="2" t="s">
        <v>4</v>
      </c>
    </row>
    <row r="5">
      <c r="C5" t="s">
        <v>5</v>
      </c>
      <c r="D5" s="3">
        <f>Main!C3</f>
        <v>3</v>
      </c>
      <c r="E5" s="3">
        <f>Main!D3</f>
        <v>3</v>
      </c>
      <c r="F5" s="3">
        <f>Main!E3</f>
        <v>4</v>
      </c>
    </row>
    <row r="6">
      <c r="C6" t="s">
        <v>6</v>
      </c>
      <c r="D6" s="3">
        <f>Main!C4</f>
        <v>3</v>
      </c>
      <c r="E6" s="3">
        <f>Main!D4</f>
        <v>2</v>
      </c>
      <c r="F6" s="3">
        <f>Main!E4</f>
        <v>5</v>
      </c>
    </row>
    <row r="7">
      <c r="C7" t="s">
        <v>7</v>
      </c>
      <c r="D7" s="3">
        <f>Main!C5</f>
        <v>3</v>
      </c>
      <c r="E7" s="3">
        <f>Main!D5</f>
        <v>4</v>
      </c>
      <c r="F7" s="3">
        <f>Main!E5</f>
        <v>5</v>
      </c>
    </row>
    <row r="8">
      <c r="C8" t="s">
        <v>9</v>
      </c>
      <c r="D8" s="3">
        <f>Main!C6</f>
        <v>4</v>
      </c>
      <c r="E8" s="3">
        <f>Main!D6</f>
        <v>3</v>
      </c>
      <c r="F8" s="3">
        <f>Main!E6</f>
        <v>4</v>
      </c>
    </row>
    <row r="9">
      <c r="C9" t="s">
        <v>11</v>
      </c>
      <c r="D9" s="3">
        <f>Main!C7</f>
        <v>3</v>
      </c>
      <c r="E9" s="3">
        <f>Main!D7</f>
        <v>4</v>
      </c>
      <c r="F9" s="3">
        <f>Main!E7</f>
        <v>5</v>
      </c>
    </row>
    <row r="10">
      <c r="C10" t="s">
        <v>12</v>
      </c>
      <c r="D10" s="3">
        <f>Main!C8</f>
        <v>3</v>
      </c>
      <c r="E10" s="3">
        <f>Main!D8</f>
        <v>4</v>
      </c>
      <c r="F10" s="3">
        <f>Main!E8</f>
        <v>5</v>
      </c>
    </row>
    <row r="11">
      <c r="C11" s="3" t="s">
        <v>14</v>
      </c>
      <c r="D11" s="3">
        <f>Main!C9</f>
        <v>4</v>
      </c>
      <c r="E11" s="3">
        <f>Main!D9</f>
        <v>3</v>
      </c>
      <c r="F11" s="3">
        <f>Main!E9</f>
        <v>4</v>
      </c>
    </row>
    <row r="12">
      <c r="C12" t="s">
        <v>15</v>
      </c>
      <c r="D12" s="3">
        <f>Main!C10</f>
        <v>2</v>
      </c>
      <c r="E12" s="3">
        <f>Main!D10</f>
        <v>3</v>
      </c>
      <c r="F12" s="3">
        <f>Main!E10</f>
        <v>4</v>
      </c>
    </row>
    <row r="13">
      <c r="C13" t="s">
        <v>17</v>
      </c>
      <c r="D13" s="3">
        <f>Main!C11</f>
        <v>4</v>
      </c>
      <c r="E13" s="3">
        <f>Main!D11</f>
        <v>4</v>
      </c>
      <c r="F13" s="3">
        <f>Main!E11</f>
        <v>3</v>
      </c>
    </row>
    <row r="14">
      <c r="C14" s="3" t="s">
        <v>18</v>
      </c>
      <c r="D14" s="3">
        <f>Main!C12</f>
        <v>4</v>
      </c>
      <c r="E14" s="3">
        <f>Main!D12</f>
        <v>4</v>
      </c>
      <c r="F14" s="3">
        <f>Main!E12</f>
        <v>3</v>
      </c>
    </row>
    <row r="15">
      <c r="B15" s="1"/>
      <c r="C15" s="2" t="s">
        <v>52</v>
      </c>
      <c r="D15" s="1">
        <f t="shared" ref="D15:F15" si="1">AVERAGE(D5:D14)</f>
        <v>3.3</v>
      </c>
      <c r="E15" s="1">
        <f t="shared" si="1"/>
        <v>3.4</v>
      </c>
      <c r="F15" s="1">
        <f t="shared" si="1"/>
        <v>4.2</v>
      </c>
    </row>
    <row r="17">
      <c r="C17" s="1"/>
      <c r="I17" s="2" t="s">
        <v>53</v>
      </c>
      <c r="J17" s="1" t="s">
        <v>2</v>
      </c>
      <c r="K17" s="1" t="s">
        <v>3</v>
      </c>
      <c r="L17" s="2" t="s">
        <v>4</v>
      </c>
    </row>
    <row r="18">
      <c r="C18" s="1" t="s">
        <v>20</v>
      </c>
      <c r="I18" t="s">
        <v>23</v>
      </c>
      <c r="J18" s="3">
        <v>5.0</v>
      </c>
      <c r="K18" s="3">
        <v>2.0</v>
      </c>
      <c r="L18">
        <v>3.0</v>
      </c>
    </row>
    <row r="19">
      <c r="C19" t="s">
        <v>22</v>
      </c>
      <c r="D19" s="3">
        <v>3.0</v>
      </c>
      <c r="E19" s="3">
        <v>5.0</v>
      </c>
      <c r="F19" s="3">
        <v>3.0</v>
      </c>
      <c r="I19" t="s">
        <v>32</v>
      </c>
      <c r="J19" s="3">
        <v>5.0</v>
      </c>
      <c r="K19" s="3">
        <v>2.0</v>
      </c>
      <c r="L19" s="3">
        <v>5.0</v>
      </c>
    </row>
    <row r="20">
      <c r="C20" t="s">
        <v>25</v>
      </c>
      <c r="D20" s="3">
        <v>3.0</v>
      </c>
      <c r="E20" s="3">
        <v>5.0</v>
      </c>
      <c r="F20" s="3">
        <v>3.0</v>
      </c>
      <c r="I20" t="s">
        <v>41</v>
      </c>
      <c r="J20">
        <v>3.0</v>
      </c>
      <c r="K20">
        <v>4.0</v>
      </c>
      <c r="L20">
        <v>3.0</v>
      </c>
    </row>
    <row r="21">
      <c r="C21" t="s">
        <v>26</v>
      </c>
      <c r="D21" s="3">
        <v>5.0</v>
      </c>
      <c r="E21" s="3">
        <v>2.0</v>
      </c>
      <c r="F21" s="3">
        <v>3.0</v>
      </c>
      <c r="I21" t="s">
        <v>48</v>
      </c>
      <c r="J21" s="3">
        <v>5.0</v>
      </c>
      <c r="K21">
        <v>2.0</v>
      </c>
      <c r="L21" s="3">
        <v>3.0</v>
      </c>
    </row>
    <row r="22">
      <c r="B22" s="1"/>
      <c r="C22" s="2" t="s">
        <v>52</v>
      </c>
      <c r="D22" s="1">
        <f t="shared" ref="D22:F22" si="2">AVERAGE(D19:D21)</f>
        <v>3.666666667</v>
      </c>
      <c r="E22" s="1">
        <f t="shared" si="2"/>
        <v>4</v>
      </c>
      <c r="F22" s="1">
        <f t="shared" si="2"/>
        <v>3</v>
      </c>
      <c r="I22" t="s">
        <v>49</v>
      </c>
      <c r="J22" s="3">
        <v>3.0</v>
      </c>
      <c r="K22" s="3">
        <v>2.0</v>
      </c>
      <c r="L22" s="3">
        <v>5.0</v>
      </c>
    </row>
    <row r="23">
      <c r="D23" s="3" t="s">
        <v>34</v>
      </c>
      <c r="I23" t="s">
        <v>50</v>
      </c>
      <c r="J23">
        <v>3.0</v>
      </c>
      <c r="K23" s="3">
        <v>3.0</v>
      </c>
      <c r="L23" s="3">
        <v>5.0</v>
      </c>
    </row>
    <row r="24">
      <c r="C24" s="1" t="s">
        <v>35</v>
      </c>
      <c r="D24" s="1" t="s">
        <v>2</v>
      </c>
      <c r="E24" s="1" t="s">
        <v>3</v>
      </c>
      <c r="F24" s="2" t="s">
        <v>4</v>
      </c>
      <c r="H24" s="1"/>
      <c r="I24" s="2" t="s">
        <v>52</v>
      </c>
      <c r="J24" s="1">
        <f t="shared" ref="J24:L24" si="3">AVERAGE(J18:J23)</f>
        <v>4</v>
      </c>
      <c r="K24" s="1">
        <f t="shared" si="3"/>
        <v>2.5</v>
      </c>
      <c r="L24" s="1">
        <f t="shared" si="3"/>
        <v>4</v>
      </c>
    </row>
    <row r="25">
      <c r="C25" t="s">
        <v>36</v>
      </c>
      <c r="D25">
        <v>5.0</v>
      </c>
      <c r="E25">
        <v>3.0</v>
      </c>
      <c r="F25">
        <v>5.0</v>
      </c>
    </row>
    <row r="26">
      <c r="C26" t="s">
        <v>37</v>
      </c>
      <c r="D26">
        <v>5.0</v>
      </c>
      <c r="E26">
        <v>3.0</v>
      </c>
      <c r="F26">
        <v>5.0</v>
      </c>
    </row>
    <row r="27">
      <c r="C27" t="s">
        <v>38</v>
      </c>
      <c r="D27">
        <v>4.0</v>
      </c>
      <c r="E27">
        <v>4.0</v>
      </c>
      <c r="F27">
        <v>4.0</v>
      </c>
    </row>
    <row r="28">
      <c r="C28" t="s">
        <v>39</v>
      </c>
      <c r="D28">
        <v>5.0</v>
      </c>
      <c r="E28">
        <v>3.0</v>
      </c>
      <c r="F28">
        <v>5.0</v>
      </c>
      <c r="I28" s="2" t="s">
        <v>54</v>
      </c>
      <c r="J28" s="1" t="s">
        <v>2</v>
      </c>
      <c r="K28" s="1" t="s">
        <v>3</v>
      </c>
      <c r="L28" s="2" t="s">
        <v>4</v>
      </c>
    </row>
    <row r="29">
      <c r="C29" t="s">
        <v>40</v>
      </c>
      <c r="D29">
        <v>4.0</v>
      </c>
      <c r="E29">
        <v>3.0</v>
      </c>
      <c r="F29">
        <v>5.0</v>
      </c>
      <c r="I29" s="3" t="s">
        <v>28</v>
      </c>
      <c r="J29" s="3">
        <v>5.0</v>
      </c>
      <c r="K29" s="3">
        <v>2.0</v>
      </c>
      <c r="L29" s="3">
        <v>3.0</v>
      </c>
    </row>
    <row r="30">
      <c r="B30" s="1"/>
      <c r="C30" s="2" t="s">
        <v>52</v>
      </c>
      <c r="D30" s="1">
        <f t="shared" ref="D30:F30" si="4">AVERAGE(D25:D29)</f>
        <v>4.6</v>
      </c>
      <c r="E30" s="1">
        <f t="shared" si="4"/>
        <v>3.2</v>
      </c>
      <c r="F30" s="1">
        <f t="shared" si="4"/>
        <v>4.8</v>
      </c>
      <c r="I30" s="3" t="s">
        <v>29</v>
      </c>
      <c r="J30" s="3">
        <v>5.0</v>
      </c>
      <c r="K30" s="3">
        <v>2.0</v>
      </c>
      <c r="L30" s="3">
        <v>5.0</v>
      </c>
    </row>
    <row r="31">
      <c r="I31" s="3" t="s">
        <v>31</v>
      </c>
      <c r="J31" s="3">
        <v>5.0</v>
      </c>
      <c r="K31" s="3">
        <v>3.0</v>
      </c>
      <c r="L31" s="3">
        <v>5.0</v>
      </c>
    </row>
    <row r="32">
      <c r="C32" s="1" t="s">
        <v>43</v>
      </c>
      <c r="H32" s="1"/>
      <c r="I32" s="2" t="s">
        <v>52</v>
      </c>
      <c r="J32" s="1">
        <f t="shared" ref="J32:L32" si="5">AVERAGE(J29:J31)</f>
        <v>5</v>
      </c>
      <c r="K32" s="1">
        <f t="shared" si="5"/>
        <v>2.333333333</v>
      </c>
      <c r="L32" s="1">
        <f t="shared" si="5"/>
        <v>4.333333333</v>
      </c>
    </row>
    <row r="33">
      <c r="C33" t="s">
        <v>44</v>
      </c>
      <c r="D33" s="3">
        <v>3.0</v>
      </c>
      <c r="E33" s="3">
        <v>2.0</v>
      </c>
      <c r="F33" s="3">
        <v>5.0</v>
      </c>
    </row>
    <row r="34">
      <c r="C34" t="s">
        <v>45</v>
      </c>
      <c r="D34" s="3">
        <v>3.0</v>
      </c>
      <c r="E34" s="3">
        <v>5.0</v>
      </c>
      <c r="F34" s="3">
        <v>5.0</v>
      </c>
    </row>
    <row r="35">
      <c r="C35" t="s">
        <v>46</v>
      </c>
      <c r="D35" s="3">
        <v>3.0</v>
      </c>
      <c r="E35" s="3">
        <v>5.0</v>
      </c>
      <c r="F35">
        <v>5.0</v>
      </c>
    </row>
    <row r="36">
      <c r="C36" t="s">
        <v>47</v>
      </c>
      <c r="D36" s="3">
        <v>3.0</v>
      </c>
      <c r="E36" s="3">
        <v>2.0</v>
      </c>
      <c r="F36" s="3">
        <v>5.0</v>
      </c>
    </row>
    <row r="37">
      <c r="C37" s="3" t="s">
        <v>55</v>
      </c>
      <c r="D37" s="3">
        <v>5.0</v>
      </c>
      <c r="E37" s="3">
        <v>3.0</v>
      </c>
      <c r="F37" s="3">
        <v>5.0</v>
      </c>
    </row>
    <row r="38">
      <c r="B38" s="1"/>
      <c r="C38" s="2" t="s">
        <v>56</v>
      </c>
      <c r="D38" s="1">
        <f t="shared" ref="D38:F38" si="6">AVERAGE(D33:D37)</f>
        <v>3.4</v>
      </c>
      <c r="E38" s="1">
        <f t="shared" si="6"/>
        <v>3.4</v>
      </c>
      <c r="F38" s="1">
        <f t="shared" si="6"/>
        <v>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6" max="26" width="36.88"/>
  </cols>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6"/>
      <c r="C1" s="6"/>
      <c r="D1" s="6"/>
      <c r="E1" s="6"/>
    </row>
    <row r="2">
      <c r="A2" s="5"/>
      <c r="B2" s="6"/>
      <c r="C2" s="6"/>
      <c r="D2" s="6"/>
      <c r="E2" s="6"/>
    </row>
    <row r="3">
      <c r="A3" s="5"/>
      <c r="B3" s="6"/>
      <c r="C3" s="6"/>
      <c r="D3" s="6"/>
      <c r="E3" s="6"/>
    </row>
    <row r="4">
      <c r="A4" s="5"/>
      <c r="B4" s="6"/>
      <c r="C4" s="6"/>
      <c r="D4" s="6"/>
      <c r="E4" s="6"/>
    </row>
    <row r="5">
      <c r="A5" s="7"/>
      <c r="B5" s="6"/>
      <c r="C5" s="6"/>
      <c r="D5" s="6"/>
      <c r="E5" s="6"/>
      <c r="F5" s="3"/>
    </row>
    <row r="6">
      <c r="B6" s="6"/>
      <c r="C6" s="6"/>
      <c r="D6" s="6"/>
      <c r="E6" s="6"/>
      <c r="F6" s="3"/>
    </row>
    <row r="17">
      <c r="F17" s="3" t="s">
        <v>34</v>
      </c>
    </row>
    <row r="27">
      <c r="C27"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c r="B1" s="6"/>
      <c r="C1" s="6"/>
      <c r="D1" s="6"/>
      <c r="E1" s="6"/>
    </row>
    <row r="2">
      <c r="A2" s="5"/>
      <c r="B2" s="6"/>
      <c r="C2" s="6"/>
      <c r="D2" s="6"/>
      <c r="E2" s="6"/>
    </row>
    <row r="3">
      <c r="A3" s="5"/>
      <c r="B3" s="6"/>
      <c r="C3" s="6"/>
      <c r="D3" s="6"/>
      <c r="E3" s="6"/>
    </row>
    <row r="4">
      <c r="A4" s="5"/>
      <c r="B4" s="6"/>
      <c r="C4" s="6"/>
      <c r="D4" s="6"/>
      <c r="E4" s="6"/>
    </row>
    <row r="5">
      <c r="A5" s="7"/>
      <c r="B5" s="6"/>
      <c r="C5" s="6"/>
      <c r="D5" s="6"/>
      <c r="E5" s="6"/>
      <c r="F5" s="3"/>
    </row>
    <row r="6">
      <c r="B6" s="6"/>
      <c r="C6" s="6"/>
      <c r="D6" s="6"/>
      <c r="E6" s="6"/>
      <c r="F6" s="3"/>
    </row>
    <row r="17">
      <c r="F17" s="3" t="s">
        <v>34</v>
      </c>
    </row>
    <row r="27">
      <c r="C27" s="8"/>
    </row>
  </sheetData>
  <drawing r:id="rId1"/>
</worksheet>
</file>