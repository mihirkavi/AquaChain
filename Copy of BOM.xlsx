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/>
  <calcPr/>
</workbook>
</file>

<file path=xl/sharedStrings.xml><?xml version="1.0" encoding="utf-8"?>
<sst xmlns="http://schemas.openxmlformats.org/spreadsheetml/2006/main" count="42" uniqueCount="32">
  <si>
    <t>Item #</t>
  </si>
  <si>
    <t>Assembly Group</t>
  </si>
  <si>
    <t>Item</t>
  </si>
  <si>
    <t>Unit Cost</t>
  </si>
  <si>
    <t>Quantity</t>
  </si>
  <si>
    <t>Total Cost</t>
  </si>
  <si>
    <t>LT (Days)</t>
  </si>
  <si>
    <t>Supplier</t>
  </si>
  <si>
    <t>Housing</t>
  </si>
  <si>
    <t>Steel Metal</t>
  </si>
  <si>
    <t>MetalWorks Co.</t>
  </si>
  <si>
    <t>Plumbing</t>
  </si>
  <si>
    <t>Seals</t>
  </si>
  <si>
    <t>Seals Supplier Ltd.</t>
  </si>
  <si>
    <t>Clamps</t>
  </si>
  <si>
    <t>Clamp Solutions LLC</t>
  </si>
  <si>
    <t>Fasteners</t>
  </si>
  <si>
    <t>Screws</t>
  </si>
  <si>
    <t>Fastener Supply Co.</t>
  </si>
  <si>
    <t>Nuts</t>
  </si>
  <si>
    <t>Bolts</t>
  </si>
  <si>
    <t>Electronics</t>
  </si>
  <si>
    <t>Circuit Board</t>
  </si>
  <si>
    <t>Circuitry Solutions Inc.</t>
  </si>
  <si>
    <t>Wires</t>
  </si>
  <si>
    <t>Microcontroller</t>
  </si>
  <si>
    <t>LCD Display</t>
  </si>
  <si>
    <t>Flow meter</t>
  </si>
  <si>
    <t>Electrochemical Sensor</t>
  </si>
  <si>
    <t>Antenna</t>
  </si>
  <si>
    <t>AC Power Cord</t>
  </si>
  <si>
    <t>AC Power Extensions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</si>
</sst>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sz val="11.0"/>
      <color rgb="FF000000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horizontal="center" readingOrder="0" shrinkToFit="0" wrapText="1"/>
    </xf>
    <xf borderId="1" fillId="2" fontId="3" numFmtId="0" xfId="0" applyAlignment="1" applyBorder="1" applyFont="1">
      <alignment horizontal="left" readingOrder="0" shrinkToFit="0" wrapText="1"/>
    </xf>
    <xf borderId="1" fillId="2" fontId="3" numFmtId="164" xfId="0" applyAlignment="1" applyBorder="1" applyFont="1" applyNumberFormat="1">
      <alignment horizontal="left" readingOrder="0" shrinkToFit="0" wrapText="1"/>
    </xf>
    <xf borderId="1" fillId="2" fontId="2" numFmtId="164" xfId="0" applyAlignment="1" applyBorder="1" applyFont="1" applyNumberFormat="1">
      <alignment horizontal="center" shrinkToFit="0" vertical="top" wrapText="1"/>
    </xf>
    <xf borderId="1" fillId="3" fontId="2" numFmtId="0" xfId="0" applyAlignment="1" applyBorder="1" applyFill="1" applyFont="1">
      <alignment horizontal="center" readingOrder="0"/>
    </xf>
    <xf borderId="2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left" readingOrder="0" shrinkToFit="0" wrapText="1"/>
    </xf>
    <xf borderId="1" fillId="3" fontId="3" numFmtId="164" xfId="0" applyAlignment="1" applyBorder="1" applyFont="1" applyNumberFormat="1">
      <alignment horizontal="left" readingOrder="0" shrinkToFit="0" wrapText="1"/>
    </xf>
    <xf borderId="1" fillId="3" fontId="3" numFmtId="0" xfId="0" applyAlignment="1" applyBorder="1" applyFont="1">
      <alignment horizontal="center" readingOrder="0" shrinkToFit="0" wrapText="1"/>
    </xf>
    <xf borderId="1" fillId="3" fontId="2" numFmtId="164" xfId="0" applyAlignment="1" applyBorder="1" applyFont="1" applyNumberFormat="1">
      <alignment horizontal="center" shrinkToFit="0" vertical="top" wrapText="1"/>
    </xf>
    <xf borderId="3" fillId="0" fontId="4" numFmtId="0" xfId="0" applyBorder="1" applyFont="1"/>
    <xf borderId="1" fillId="4" fontId="2" numFmtId="0" xfId="0" applyAlignment="1" applyBorder="1" applyFill="1" applyFont="1">
      <alignment horizontal="center" readingOrder="0"/>
    </xf>
    <xf borderId="2" fillId="4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left" readingOrder="0" shrinkToFit="0" wrapText="1"/>
    </xf>
    <xf borderId="1" fillId="4" fontId="3" numFmtId="164" xfId="0" applyAlignment="1" applyBorder="1" applyFont="1" applyNumberFormat="1">
      <alignment horizontal="left" readingOrder="0" shrinkToFit="0" wrapText="1"/>
    </xf>
    <xf borderId="1" fillId="4" fontId="3" numFmtId="0" xfId="0" applyAlignment="1" applyBorder="1" applyFont="1">
      <alignment horizontal="center" readingOrder="0" shrinkToFit="0" wrapText="1"/>
    </xf>
    <xf borderId="1" fillId="4" fontId="2" numFmtId="164" xfId="0" applyAlignment="1" applyBorder="1" applyFont="1" applyNumberFormat="1">
      <alignment horizontal="center" shrinkToFit="0" vertical="top" wrapText="1"/>
    </xf>
    <xf borderId="4" fillId="0" fontId="4" numFmtId="0" xfId="0" applyBorder="1" applyFont="1"/>
    <xf borderId="1" fillId="5" fontId="2" numFmtId="0" xfId="0" applyAlignment="1" applyBorder="1" applyFill="1" applyFont="1">
      <alignment horizontal="center" readingOrder="0"/>
    </xf>
    <xf borderId="2" fillId="5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left" readingOrder="0" shrinkToFit="0" wrapText="1"/>
    </xf>
    <xf borderId="1" fillId="5" fontId="3" numFmtId="164" xfId="0" applyAlignment="1" applyBorder="1" applyFont="1" applyNumberFormat="1">
      <alignment horizontal="left" readingOrder="0" shrinkToFit="0" wrapText="1"/>
    </xf>
    <xf borderId="1" fillId="5" fontId="3" numFmtId="0" xfId="0" applyAlignment="1" applyBorder="1" applyFont="1">
      <alignment horizontal="center" readingOrder="0" shrinkToFit="0" wrapText="1"/>
    </xf>
    <xf borderId="1" fillId="5" fontId="2" numFmtId="164" xfId="0" applyAlignment="1" applyBorder="1" applyFont="1" applyNumberFormat="1">
      <alignment horizontal="center" shrinkToFit="0" vertical="top" wrapText="1"/>
    </xf>
    <xf borderId="1" fillId="5" fontId="3" numFmtId="0" xfId="0" applyAlignment="1" applyBorder="1" applyFont="1">
      <alignment horizontal="left" readingOrder="0"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3" max="3" width="15.88"/>
    <col customWidth="1" min="4" max="4" width="20.25"/>
    <col hidden="1" min="5" max="5" width="12.63"/>
    <col customWidth="1" min="6" max="6" width="8.63"/>
    <col hidden="1" min="7" max="7" width="12.63"/>
    <col customWidth="1" min="8" max="8" width="9.5"/>
    <col customWidth="1" min="9" max="9" width="25.75"/>
  </cols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>
      <c r="A3" s="3"/>
      <c r="B3" s="4">
        <v>1.0</v>
      </c>
      <c r="C3" s="5" t="s">
        <v>8</v>
      </c>
      <c r="D3" s="6" t="s">
        <v>9</v>
      </c>
      <c r="E3" s="7">
        <v>11.5</v>
      </c>
      <c r="F3" s="5">
        <v>1.0</v>
      </c>
      <c r="G3" s="8">
        <f t="shared" ref="G3:G17" si="1">E3*F3</f>
        <v>11.5</v>
      </c>
      <c r="H3" s="5">
        <v>5.0</v>
      </c>
      <c r="I3" s="5" t="s">
        <v>10</v>
      </c>
    </row>
    <row r="4">
      <c r="A4" s="3"/>
      <c r="B4" s="9">
        <v>2.0</v>
      </c>
      <c r="C4" s="10" t="s">
        <v>11</v>
      </c>
      <c r="D4" s="11" t="s">
        <v>12</v>
      </c>
      <c r="E4" s="12">
        <v>1.0</v>
      </c>
      <c r="F4" s="13">
        <v>2.0</v>
      </c>
      <c r="G4" s="14">
        <f t="shared" si="1"/>
        <v>2</v>
      </c>
      <c r="H4" s="13">
        <v>3.0</v>
      </c>
      <c r="I4" s="13" t="s">
        <v>13</v>
      </c>
    </row>
    <row r="5">
      <c r="A5" s="3"/>
      <c r="B5" s="9">
        <v>3.0</v>
      </c>
      <c r="C5" s="15"/>
      <c r="D5" s="11" t="s">
        <v>14</v>
      </c>
      <c r="E5" s="12">
        <v>1.0</v>
      </c>
      <c r="F5" s="13">
        <v>1.0</v>
      </c>
      <c r="G5" s="14">
        <f t="shared" si="1"/>
        <v>1</v>
      </c>
      <c r="H5" s="13">
        <v>3.0</v>
      </c>
      <c r="I5" s="13" t="s">
        <v>15</v>
      </c>
    </row>
    <row r="6">
      <c r="A6" s="3"/>
      <c r="B6" s="16">
        <v>4.0</v>
      </c>
      <c r="C6" s="17" t="s">
        <v>16</v>
      </c>
      <c r="D6" s="18" t="s">
        <v>17</v>
      </c>
      <c r="E6" s="19">
        <v>0.1</v>
      </c>
      <c r="F6" s="20">
        <v>8.0</v>
      </c>
      <c r="G6" s="21">
        <f t="shared" si="1"/>
        <v>0.8</v>
      </c>
      <c r="H6" s="20">
        <v>3.0</v>
      </c>
      <c r="I6" s="20" t="s">
        <v>18</v>
      </c>
    </row>
    <row r="7">
      <c r="A7" s="3"/>
      <c r="B7" s="16">
        <v>5.0</v>
      </c>
      <c r="C7" s="22"/>
      <c r="D7" s="18" t="s">
        <v>19</v>
      </c>
      <c r="E7" s="19">
        <v>0.1</v>
      </c>
      <c r="F7" s="20">
        <v>8.0</v>
      </c>
      <c r="G7" s="21">
        <f t="shared" si="1"/>
        <v>0.8</v>
      </c>
      <c r="H7" s="20">
        <v>3.0</v>
      </c>
      <c r="I7" s="20" t="s">
        <v>18</v>
      </c>
    </row>
    <row r="8">
      <c r="A8" s="3"/>
      <c r="B8" s="16">
        <v>6.0</v>
      </c>
      <c r="C8" s="15"/>
      <c r="D8" s="18" t="s">
        <v>20</v>
      </c>
      <c r="E8" s="19">
        <v>0.1</v>
      </c>
      <c r="F8" s="20">
        <v>8.0</v>
      </c>
      <c r="G8" s="21">
        <f t="shared" si="1"/>
        <v>0.8</v>
      </c>
      <c r="H8" s="20">
        <v>3.0</v>
      </c>
      <c r="I8" s="20" t="s">
        <v>18</v>
      </c>
    </row>
    <row r="9">
      <c r="A9" s="3"/>
      <c r="B9" s="23">
        <v>7.0</v>
      </c>
      <c r="C9" s="24" t="s">
        <v>21</v>
      </c>
      <c r="D9" s="25" t="s">
        <v>22</v>
      </c>
      <c r="E9" s="26">
        <v>10.0</v>
      </c>
      <c r="F9" s="27">
        <v>1.0</v>
      </c>
      <c r="G9" s="28">
        <f t="shared" si="1"/>
        <v>10</v>
      </c>
      <c r="H9" s="27">
        <v>7.0</v>
      </c>
      <c r="I9" s="27" t="s">
        <v>23</v>
      </c>
    </row>
    <row r="10">
      <c r="A10" s="3"/>
      <c r="B10" s="23">
        <v>8.0</v>
      </c>
      <c r="C10" s="22"/>
      <c r="D10" s="25" t="s">
        <v>24</v>
      </c>
      <c r="E10" s="26">
        <v>1.0</v>
      </c>
      <c r="F10" s="27">
        <v>4.0</v>
      </c>
      <c r="G10" s="28">
        <f t="shared" si="1"/>
        <v>4</v>
      </c>
      <c r="H10" s="27">
        <v>3.0</v>
      </c>
      <c r="I10" s="27" t="s">
        <v>23</v>
      </c>
    </row>
    <row r="11">
      <c r="A11" s="3"/>
      <c r="B11" s="23">
        <v>9.0</v>
      </c>
      <c r="C11" s="22"/>
      <c r="D11" s="29" t="s">
        <v>25</v>
      </c>
      <c r="E11" s="26">
        <v>20.0</v>
      </c>
      <c r="F11" s="27">
        <v>1.0</v>
      </c>
      <c r="G11" s="28">
        <f t="shared" si="1"/>
        <v>20</v>
      </c>
      <c r="H11" s="27">
        <v>7.0</v>
      </c>
      <c r="I11" s="27" t="s">
        <v>23</v>
      </c>
    </row>
    <row r="12">
      <c r="A12" s="3"/>
      <c r="B12" s="23">
        <v>10.0</v>
      </c>
      <c r="C12" s="22"/>
      <c r="D12" s="29" t="s">
        <v>26</v>
      </c>
      <c r="E12" s="26">
        <v>10.0</v>
      </c>
      <c r="F12" s="27">
        <v>1.0</v>
      </c>
      <c r="G12" s="28">
        <f t="shared" si="1"/>
        <v>10</v>
      </c>
      <c r="H12" s="27">
        <v>5.0</v>
      </c>
      <c r="I12" s="27" t="s">
        <v>23</v>
      </c>
    </row>
    <row r="13">
      <c r="A13" s="3"/>
      <c r="B13" s="23">
        <v>11.0</v>
      </c>
      <c r="C13" s="22"/>
      <c r="D13" s="29" t="s">
        <v>27</v>
      </c>
      <c r="E13" s="26">
        <v>10.0</v>
      </c>
      <c r="F13" s="27">
        <v>1.0</v>
      </c>
      <c r="G13" s="28">
        <f t="shared" si="1"/>
        <v>10</v>
      </c>
      <c r="H13" s="27">
        <v>7.0</v>
      </c>
      <c r="I13" s="27" t="s">
        <v>23</v>
      </c>
    </row>
    <row r="14">
      <c r="A14" s="3"/>
      <c r="B14" s="23">
        <v>12.0</v>
      </c>
      <c r="C14" s="22"/>
      <c r="D14" s="29" t="s">
        <v>28</v>
      </c>
      <c r="E14" s="26">
        <v>10.0</v>
      </c>
      <c r="F14" s="27">
        <v>1.0</v>
      </c>
      <c r="G14" s="28">
        <f t="shared" si="1"/>
        <v>10</v>
      </c>
      <c r="H14" s="27">
        <v>7.0</v>
      </c>
      <c r="I14" s="27" t="s">
        <v>23</v>
      </c>
    </row>
    <row r="15">
      <c r="A15" s="3"/>
      <c r="B15" s="23">
        <v>13.0</v>
      </c>
      <c r="C15" s="22"/>
      <c r="D15" s="29" t="s">
        <v>29</v>
      </c>
      <c r="E15" s="26">
        <v>10.0</v>
      </c>
      <c r="F15" s="27">
        <v>1.0</v>
      </c>
      <c r="G15" s="28">
        <f t="shared" si="1"/>
        <v>10</v>
      </c>
      <c r="H15" s="27">
        <v>5.0</v>
      </c>
      <c r="I15" s="27" t="s">
        <v>23</v>
      </c>
    </row>
    <row r="16">
      <c r="A16" s="3"/>
      <c r="B16" s="23">
        <v>14.0</v>
      </c>
      <c r="C16" s="22"/>
      <c r="D16" s="29" t="s">
        <v>30</v>
      </c>
      <c r="E16" s="26">
        <v>5.0</v>
      </c>
      <c r="F16" s="27">
        <v>1.0</v>
      </c>
      <c r="G16" s="28">
        <f t="shared" si="1"/>
        <v>5</v>
      </c>
      <c r="H16" s="27">
        <v>3.0</v>
      </c>
      <c r="I16" s="27" t="s">
        <v>23</v>
      </c>
    </row>
    <row r="17">
      <c r="A17" s="3"/>
      <c r="B17" s="23">
        <v>15.0</v>
      </c>
      <c r="C17" s="15"/>
      <c r="D17" s="29" t="s">
        <v>31</v>
      </c>
      <c r="E17" s="26">
        <v>2.0</v>
      </c>
      <c r="F17" s="27">
        <v>1.0</v>
      </c>
      <c r="G17" s="28">
        <f t="shared" si="1"/>
        <v>2</v>
      </c>
      <c r="H17" s="27">
        <v>3.0</v>
      </c>
      <c r="I17" s="27" t="s">
        <v>23</v>
      </c>
    </row>
    <row r="18">
      <c r="G18" s="30">
        <f>SUM(G3:G17)</f>
        <v>97.9</v>
      </c>
    </row>
  </sheetData>
  <mergeCells count="3">
    <mergeCell ref="C4:C5"/>
    <mergeCell ref="C6:C8"/>
    <mergeCell ref="C9:C17"/>
  </mergeCells>
  <drawing r:id="rId1"/>
</worksheet>
</file>