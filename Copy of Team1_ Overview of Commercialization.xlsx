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ing Sheet" sheetId="1" r:id="rId4"/>
    <sheet state="visible" name="Development Costs Non Recurrent" sheetId="2" r:id="rId5"/>
    <sheet state="visible" name="Production Costs Recurrent Cost" sheetId="3" r:id="rId6"/>
    <sheet state="visible" name="Sales Forecast" sheetId="4" r:id="rId7"/>
    <sheet state="visible" name="Master Production Schedule" sheetId="5" r:id="rId8"/>
    <sheet state="visible" name="BOM" sheetId="6" r:id="rId9"/>
    <sheet state="visible" name="Pricing Model" sheetId="7" r:id="rId10"/>
    <sheet state="visible" name="Balance Sheet" sheetId="8" r:id="rId11"/>
    <sheet state="visible" name="Cash Flow Statement" sheetId="9" r:id="rId12"/>
    <sheet state="visible" name="Income Statement" sheetId="10" r:id="rId13"/>
    <sheet state="visible" name="Valuation Model" sheetId="11" r:id="rId14"/>
    <sheet state="visible" name="Capital Budgeting Analysis" sheetId="12" r:id="rId15"/>
    <sheet state="visible" name="Investment Spending" sheetId="13" r:id="rId16"/>
  </sheets>
  <definedNames/>
  <calcPr/>
</workbook>
</file>

<file path=xl/sharedStrings.xml><?xml version="1.0" encoding="utf-8"?>
<sst xmlns="http://schemas.openxmlformats.org/spreadsheetml/2006/main" count="486" uniqueCount="366">
  <si>
    <t>Section</t>
  </si>
  <si>
    <t>Details</t>
  </si>
  <si>
    <t>Initial Design</t>
  </si>
  <si>
    <t>Components</t>
  </si>
  <si>
    <t>Description</t>
  </si>
  <si>
    <t>Count</t>
  </si>
  <si>
    <t>Employment</t>
  </si>
  <si>
    <t>Duration (days)</t>
  </si>
  <si>
    <t>Company Cost (per day)</t>
  </si>
  <si>
    <t>Total Cost ($)</t>
  </si>
  <si>
    <t>Preliminary Concept</t>
  </si>
  <si>
    <t>Blockchain Engineer</t>
  </si>
  <si>
    <t>Engineer focused on blockchain system design</t>
  </si>
  <si>
    <t>2 people</t>
  </si>
  <si>
    <t>full-time</t>
  </si>
  <si>
    <t>Senior Systems Engineer</t>
  </si>
  <si>
    <t>Senior engineer for systems integration</t>
  </si>
  <si>
    <t>1 person</t>
  </si>
  <si>
    <t>Subtotal</t>
  </si>
  <si>
    <t>Assemble, Integrate, and Test</t>
  </si>
  <si>
    <t>Hardware</t>
  </si>
  <si>
    <t>IoT Sensors</t>
  </si>
  <si>
    <t>Essential components for water quality measurement</t>
  </si>
  <si>
    <t>10 units</t>
  </si>
  <si>
    <t>-</t>
  </si>
  <si>
    <t>$50 per unit</t>
  </si>
  <si>
    <t>People</t>
  </si>
  <si>
    <t>Senior Hardware Engineer</t>
  </si>
  <si>
    <t>Engineer for hardware setup and testing</t>
  </si>
  <si>
    <t>Senior Software Engineer</t>
  </si>
  <si>
    <t>Engineer for blockchain software development</t>
  </si>
  <si>
    <t>Networking Equipment</t>
  </si>
  <si>
    <t>Routers and related networking hardware for IoT integration</t>
  </si>
  <si>
    <t>1 unit</t>
  </si>
  <si>
    <t>Development Kits</t>
  </si>
  <si>
    <t>Tools for IoT device development</t>
  </si>
  <si>
    <t>Laptop</t>
  </si>
  <si>
    <t>For software development and testing</t>
  </si>
  <si>
    <t>4 units</t>
  </si>
  <si>
    <t>$1,000 per unit</t>
  </si>
  <si>
    <t>Prototype</t>
  </si>
  <si>
    <t>Proof of Concept</t>
  </si>
  <si>
    <t>Senior Engineer</t>
  </si>
  <si>
    <t>Supervision and development of prototype</t>
  </si>
  <si>
    <t>Engineer</t>
  </si>
  <si>
    <t>Assistance in prototype development</t>
  </si>
  <si>
    <t>Verification and Validation</t>
  </si>
  <si>
    <t>System level total integration</t>
  </si>
  <si>
    <t>Integration testing and validation</t>
  </si>
  <si>
    <t>Systems Engineer</t>
  </si>
  <si>
    <t>Assistance in system validation</t>
  </si>
  <si>
    <t>Total Development Cost</t>
  </si>
  <si>
    <t>Comments</t>
  </si>
  <si>
    <t>Company cost per day is assumed based on industry averages for engineering roles.</t>
  </si>
  <si>
    <t>For hardware components, an estimate is given based on bulk purchase of units for a prototype. This may vary based on actual unit costs at the time of procurement.</t>
  </si>
  <si>
    <t>Development kits, laptops, and networking equipment are estimated based on current market prices for mid-to-high range equipment.</t>
  </si>
  <si>
    <t>This table does not account for indirect costs such as utilities, rent, and administrative expenses.</t>
  </si>
  <si>
    <t>The costs for people include estimated employment costs but may vary based on the actual salaries, benefits, and taxes applicable.</t>
  </si>
  <si>
    <t>Duration for the initial design and assemble, integrate, and test phases assumes a two-month period, which is typical for the initial stages of a complex project like AquaChain. The prototype and verification/validation phases are estimated at one month each, for rapid development and testing cycles.</t>
  </si>
  <si>
    <t>Recurring Monthly Production Expenses</t>
  </si>
  <si>
    <t>Total Cost</t>
  </si>
  <si>
    <t>Indirect Cost</t>
  </si>
  <si>
    <t>Rent (WFH)</t>
  </si>
  <si>
    <t>Utilities (Electricity, Water, Internet, etc) - WFH</t>
  </si>
  <si>
    <t>Technology Licenses (Zoom, Microsoft, GitHub, etc)</t>
  </si>
  <si>
    <t>Advertising</t>
  </si>
  <si>
    <t>Employee WFH office stipends</t>
  </si>
  <si>
    <t>Insurance, Legal and Administrative Fees</t>
  </si>
  <si>
    <t>Hardware costs (computers, IT hardware)</t>
  </si>
  <si>
    <t>Travel costs (in person meetings)</t>
  </si>
  <si>
    <t>Direct Cost</t>
  </si>
  <si>
    <t>IoT Sensors : Company Partnership/Tieup</t>
  </si>
  <si>
    <t>Product Manager</t>
  </si>
  <si>
    <t>Total Production costs</t>
  </si>
  <si>
    <t>Engineers</t>
  </si>
  <si>
    <t>Phased Growth Approach</t>
  </si>
  <si>
    <t>Year</t>
  </si>
  <si>
    <t>Clients in Pipeline</t>
  </si>
  <si>
    <t>Client Growth (%)</t>
  </si>
  <si>
    <t>Conversion Rate</t>
  </si>
  <si>
    <t>Price per Unit ($)</t>
  </si>
  <si>
    <t>Annual Units Sold</t>
  </si>
  <si>
    <t>Revenue</t>
  </si>
  <si>
    <t>Year 2024</t>
  </si>
  <si>
    <t>Month</t>
  </si>
  <si>
    <t>Units Sold</t>
  </si>
  <si>
    <t>Monthly Revenue</t>
  </si>
  <si>
    <t>Cumulative Revenue</t>
  </si>
  <si>
    <t>January</t>
  </si>
  <si>
    <t>February</t>
  </si>
  <si>
    <t>March</t>
  </si>
  <si>
    <t>Q1: January to March</t>
  </si>
  <si>
    <t>April</t>
  </si>
  <si>
    <t>Q2: April to June</t>
  </si>
  <si>
    <t>May</t>
  </si>
  <si>
    <t>Q3: July to September</t>
  </si>
  <si>
    <t>June</t>
  </si>
  <si>
    <t>Q4: October to December</t>
  </si>
  <si>
    <t>July</t>
  </si>
  <si>
    <t>August</t>
  </si>
  <si>
    <t>September</t>
  </si>
  <si>
    <t>October</t>
  </si>
  <si>
    <t>November</t>
  </si>
  <si>
    <t>December</t>
  </si>
  <si>
    <t xml:space="preserve">Comments </t>
  </si>
  <si>
    <t xml:space="preserve">This approach acknowledges that the initial years might see a higher growth rate in potential clients as there's more opportunity for new users. </t>
  </si>
  <si>
    <t>However, as the market becomes more saturated with AquaChain, the growth rate is likely to slow down in later years</t>
  </si>
  <si>
    <t>In a phased growth approach for AquaChain, we assume a higher initial growth rate followed by a stagnation for a few reasons:</t>
  </si>
  <si>
    <t>1. Market Saturation</t>
  </si>
  <si>
    <t>2. Early Adopters</t>
  </si>
  <si>
    <t>3. Marketing and Sales Efforts</t>
  </si>
  <si>
    <t>4. Competition</t>
  </si>
  <si>
    <t xml:space="preserve">Reasons for 5% increase in conversion ration annually </t>
  </si>
  <si>
    <t xml:space="preserve">1. Industry Standard </t>
  </si>
  <si>
    <t>2. Conservative estimate</t>
  </si>
  <si>
    <t>3. Marketing  &amp; Sales Strategy</t>
  </si>
  <si>
    <t>Customers</t>
  </si>
  <si>
    <t>Metropolitan Water District of Southern California (MWD)</t>
  </si>
  <si>
    <t>Los Angeles Department of Water and Power (LADWP)</t>
  </si>
  <si>
    <t>Irvine Ranch Water District (IRWD)</t>
  </si>
  <si>
    <t>Orange County Water District (OCWD)</t>
  </si>
  <si>
    <t>Total Units</t>
  </si>
  <si>
    <t>Ratios</t>
  </si>
  <si>
    <t>Item #</t>
  </si>
  <si>
    <t>Assembly Group</t>
  </si>
  <si>
    <t>Item</t>
  </si>
  <si>
    <t>Unit Cost</t>
  </si>
  <si>
    <t>Quantity</t>
  </si>
  <si>
    <t>LT (Days)</t>
  </si>
  <si>
    <t>Housing</t>
  </si>
  <si>
    <t>Steel Metal</t>
  </si>
  <si>
    <t>Plumbing</t>
  </si>
  <si>
    <t>Seals</t>
  </si>
  <si>
    <t>Clamps</t>
  </si>
  <si>
    <t>Fasteners</t>
  </si>
  <si>
    <t>Screws</t>
  </si>
  <si>
    <t>Nuts</t>
  </si>
  <si>
    <t>Bolts</t>
  </si>
  <si>
    <t>Electronics</t>
  </si>
  <si>
    <t>Circuit Board</t>
  </si>
  <si>
    <t>Wires</t>
  </si>
  <si>
    <t>Microcontroller</t>
  </si>
  <si>
    <t>LCD Display</t>
  </si>
  <si>
    <t>Flow meter</t>
  </si>
  <si>
    <t>Electrochemical Sensor</t>
  </si>
  <si>
    <t>Antenna</t>
  </si>
  <si>
    <t>AC Power Cord</t>
  </si>
  <si>
    <t>AC Power Extensions</t>
  </si>
  <si>
    <t>Monthly Product Expenses</t>
  </si>
  <si>
    <t>Actual Product Price</t>
  </si>
  <si>
    <t>Salary</t>
  </si>
  <si>
    <t>Marketing</t>
  </si>
  <si>
    <t>Contractual Company Cost for Sensors</t>
  </si>
  <si>
    <t>Labor Costs</t>
  </si>
  <si>
    <t>Raw Materials</t>
  </si>
  <si>
    <t>Operational Costs</t>
  </si>
  <si>
    <t>Total salary</t>
  </si>
  <si>
    <t>Profit Calculation</t>
  </si>
  <si>
    <t>Total Monthly Expenses: Total Monthly Expenses = $200 (Marketing) + $1000 (Technology Licenses) + $200 (Advertising) + $250 (Employee WFH office stipends) + $500 (Insurance, Legal and Administrative Fees) + $1000 (Hardware costs) + $1000 (Travel costs) + $128.93 (Loan Repaying) + $2000 (Future Expansion Capital) + $132,000 (Salary)</t>
  </si>
  <si>
    <t>Total Monthly Expenses = $138,078.93</t>
  </si>
  <si>
    <t>Total Monthly Revenue: Total Monthly Revenue = Total Monthly Expenses + Profit</t>
  </si>
  <si>
    <t>Total Monthly Revenue = $138,078.93 + Profit</t>
  </si>
  <si>
    <t>Other Costs</t>
  </si>
  <si>
    <t>Profit: Profit = 10% of Total Monthly Revenue = 0.10 * (Total Monthly Revenue)</t>
  </si>
  <si>
    <t>Loan Repaying</t>
  </si>
  <si>
    <t>Profit= 0.10∗138,078.93+0.10∗Profit</t>
  </si>
  <si>
    <t>Future Expansion Capital</t>
  </si>
  <si>
    <t>Profit=13,807.893+0.10∗Profit</t>
  </si>
  <si>
    <t>Repairs &amp; Replacements</t>
  </si>
  <si>
    <t>0.90∗Profit=13,807.893</t>
  </si>
  <si>
    <t>Profit: 10% of Total Monthly Revenue (after deducting all expenses)</t>
  </si>
  <si>
    <t>Total Product Price</t>
  </si>
  <si>
    <t>Assumptions</t>
  </si>
  <si>
    <t>Forecast Total Sales Volume (Units)</t>
  </si>
  <si>
    <t>Loan of $20K for 10 years time period; where EMI ≈ $128.93</t>
  </si>
  <si>
    <t>Total Cost per Unit</t>
  </si>
  <si>
    <t xml:space="preserve">Investor Capital is zero : As a team we have ventured and have fully funded:$ 100k a project with loan of $20k for ongoing expenses </t>
  </si>
  <si>
    <t>Desired Profit Margin (10%)</t>
  </si>
  <si>
    <t>Future Expansion Capital: $2,000 (monthly allocation)</t>
  </si>
  <si>
    <t>Markup Amount</t>
  </si>
  <si>
    <t>Salary is sum of amount paid towards the staff ie Sum of Salaries of Blockchain Engineer ,Senior Systems Engineer,Senior Hardware Engineer,Senior Software Engineer,Product Manager</t>
  </si>
  <si>
    <t>Selling Price (Cost Plus Pricing Model)</t>
  </si>
  <si>
    <t>Labor Costs is assumed as zero as it is a software solutions , as we partner with companies for Sensor</t>
  </si>
  <si>
    <t>Note : Please find all additional assumptions and necessary calculations in the right side of Excel.</t>
  </si>
  <si>
    <t>Calculating in terms of Gallons of water</t>
  </si>
  <si>
    <t>Assumption : $1,100 per month for managing 10 million gallons of water.</t>
  </si>
  <si>
    <t>Volume managed per dollar = 10,000,000 gallons / $1,100 = 8,333.33 gallons per dollar</t>
  </si>
  <si>
    <t>Now, to estimate the volume of water managed by AquaChain for $174.48:</t>
  </si>
  <si>
    <t>Volume managed by AquaChain = Volume managed per dollar * Price of AquaChain solution</t>
  </si>
  <si>
    <t>Volume managed by AquaChain = 8,333.33 gallons per dollar * $174.48</t>
  </si>
  <si>
    <t>Volume managed by AquaChain ≈ 1,454,024.61 gallons</t>
  </si>
  <si>
    <t>So, based on the updated competitor pricing of $1,200 per 10 million gallons of water, AquaChain competitive pricing of $1100 per 10 million gallons of water could potentially manage approximately 1.45 million gallons of water for a price of $174.48</t>
  </si>
  <si>
    <t>Competitive comparison</t>
  </si>
  <si>
    <t>Company</t>
  </si>
  <si>
    <t>Location</t>
  </si>
  <si>
    <t>Charging Model</t>
  </si>
  <si>
    <t>Typical Price Range</t>
  </si>
  <si>
    <t>AquaChain</t>
  </si>
  <si>
    <t>Southern California</t>
  </si>
  <si>
    <t>Subscription-based</t>
  </si>
  <si>
    <t>Aquatic Informatics</t>
  </si>
  <si>
    <t>Nationwide (including CA)</t>
  </si>
  <si>
    <t>$10,000 - $100,000+ per year</t>
  </si>
  <si>
    <t>Innovyze</t>
  </si>
  <si>
    <t>Client base in CA</t>
  </si>
  <si>
    <t>Software license, subscriptions</t>
  </si>
  <si>
    <t>$20,000 - $250,000+ per year</t>
  </si>
  <si>
    <t>Xylem Inc.</t>
  </si>
  <si>
    <t>Global (including CA)</t>
  </si>
  <si>
    <t>License fee + Installation/support</t>
  </si>
  <si>
    <t>$15,000 - $200,000+ per year</t>
  </si>
  <si>
    <t>IBM’s Water Management</t>
  </si>
  <si>
    <t>Subscription or one-time licensing fee</t>
  </si>
  <si>
    <t>$25,000 - $500,000+ per year</t>
  </si>
  <si>
    <t>Tetra Tech</t>
  </si>
  <si>
    <t>Offices/projects in CA</t>
  </si>
  <si>
    <t>Project-based, can include software</t>
  </si>
  <si>
    <t>Varies greatly per project</t>
  </si>
  <si>
    <t>Assets</t>
  </si>
  <si>
    <t>Year 2025</t>
  </si>
  <si>
    <t>Liabilities and Shareholder's Equity</t>
  </si>
  <si>
    <t>Current assets</t>
  </si>
  <si>
    <t>Current Liabilities</t>
  </si>
  <si>
    <t>Cash and cash equivalents</t>
  </si>
  <si>
    <t>Accounts Payable</t>
  </si>
  <si>
    <t>Prepaid Expenses</t>
  </si>
  <si>
    <t>Salaries Payable</t>
  </si>
  <si>
    <t>Account receivable</t>
  </si>
  <si>
    <t>Taxes Payable</t>
  </si>
  <si>
    <t>Inventory</t>
  </si>
  <si>
    <t>Accrued Expenses</t>
  </si>
  <si>
    <t>Total current assets</t>
  </si>
  <si>
    <t>Long Term Liabilities</t>
  </si>
  <si>
    <t>Total Liabilities</t>
  </si>
  <si>
    <t>Fixed assets</t>
  </si>
  <si>
    <t>Shareholder's Equity</t>
  </si>
  <si>
    <t>Property, Equipment</t>
  </si>
  <si>
    <t>Common Stock</t>
  </si>
  <si>
    <t>Less depreciation</t>
  </si>
  <si>
    <t>Retained earnings</t>
  </si>
  <si>
    <t>Intangible assets</t>
  </si>
  <si>
    <t>Total Shareholder's equity</t>
  </si>
  <si>
    <t>Patents and Trademarks</t>
  </si>
  <si>
    <t>Less Amortization</t>
  </si>
  <si>
    <t>Total Liabilities and Shareholder's Equity</t>
  </si>
  <si>
    <t>Total fixed assets</t>
  </si>
  <si>
    <t>Total Assets</t>
  </si>
  <si>
    <t>Note : Please refere reasoning for values in asset table based on market research .</t>
  </si>
  <si>
    <t>Loan Amount: $20,000
Initial Funding: $100,000
Estimated OCF (Year 1): $25,200 (See previous explanation for OCF estimation)
Cash &amp; Cash Equivalents Estimate (Year 1): $20,000 (Loan) + $100,000 (Funding) + $25,200 (OCF) = $145,200</t>
  </si>
  <si>
    <t>Prepaid Software Licenses (annual): $1,000 
Other Prepaid Expenses: $2,000
Total Prepaid Expenses: $1,000 + $2,000 = $3,000</t>
  </si>
  <si>
    <t>Inventory = $0 for AquaChain in the asset table is because it's a service-based company and uses sensors through tie ups with other company</t>
  </si>
  <si>
    <t>Year 1 :Total fixed assets = Property, Equipment - Depreciation + Patents and Trademarks - Amortization Total fixed assets = ($50,000 - $9,000) + ($100,000 - $5,000) Total fixed assets = $41,000 + $95,000 Total fixed assets = $136,000</t>
  </si>
  <si>
    <t>Year 2: Total fixed assets = Property, Equipment - Depreciation + Patents and Trademarks - Amortization
Total fixed assets = ($55,000 - $10,000) + ($105,000 - $7,000)
Total fixed assets = $45,000 + $98,000
Total fixed assets = $143,000</t>
  </si>
  <si>
    <t>Cash Flow Statement at the end of Year 1</t>
  </si>
  <si>
    <t>Category</t>
  </si>
  <si>
    <t>Amount ($)</t>
  </si>
  <si>
    <t>Cash Flows from Operating Activities</t>
  </si>
  <si>
    <t>Salaries</t>
  </si>
  <si>
    <t>Outflows for team salaries</t>
  </si>
  <si>
    <t>This cost includes salaries for a small to medium-sized team comprising blockchain engineers, systems engineers, hardware engineers, and support staff. The average annual salary for such specialized roles in the tech industry can range from $70,000 to $120,000 or more.</t>
  </si>
  <si>
    <t>Research and Development</t>
  </si>
  <si>
    <t>Outflows for R&amp;D expenses</t>
  </si>
  <si>
    <t>R&amp;D is critical in the initial stages of a tech project. This budget accounts for prototype development, software iteration, testing, and improvements. Industry benchmarks for R&amp;D intensity (R&amp;D expenses as a percentage of sales) in tech sectors can be around 10-15% for established companies, but for startups, it can be much higher, often exceeding 30-50% of the total budget.</t>
  </si>
  <si>
    <t>Marketing and Sales Promotion</t>
  </si>
  <si>
    <t>Outflows for marketing activities</t>
  </si>
  <si>
    <t>Early-stage marketing for tech products includes brand development, website creation, digital marketing campaigns, and initial customer outreach.</t>
  </si>
  <si>
    <t>Office Rent and Utilities</t>
  </si>
  <si>
    <t>Outflows for office-related expenses</t>
  </si>
  <si>
    <t>Based on commercial real estate data, the average office rent can range from $20 to $50 per square foot per year in urban areas.</t>
  </si>
  <si>
    <t>Other Operating Expenses</t>
  </si>
  <si>
    <t>Miscellaneous operating expenses</t>
  </si>
  <si>
    <t>This would cover miscellaneous costs such as office supplies, telecommunications, software subscriptions, and travel.</t>
  </si>
  <si>
    <t>Net Cash from Operating Activities</t>
  </si>
  <si>
    <t>Cash Flows from Investing Activities</t>
  </si>
  <si>
    <t>Purchase of Equipment</t>
  </si>
  <si>
    <t>Outflows for equipment purchases</t>
  </si>
  <si>
    <t>Initial investment in long-term assets such as computers, networking equipment, and other technical hardware for development purposes.</t>
  </si>
  <si>
    <t>Net Cash from Investing Activities</t>
  </si>
  <si>
    <t>Cash Flows from Financing Activities</t>
  </si>
  <si>
    <t>Initial Capital Investment</t>
  </si>
  <si>
    <t>Inflows from investors</t>
  </si>
  <si>
    <t>Seed funding for startups often ranges from $50,000 to several hundred thousand dollars.</t>
  </si>
  <si>
    <t>Repayment of Loans</t>
  </si>
  <si>
    <t>Outflows for loan repayment</t>
  </si>
  <si>
    <t>Repayments on any short-term loans or debts that were incurred for initial setup costs.</t>
  </si>
  <si>
    <t>Investor Dividends</t>
  </si>
  <si>
    <t>Outflows for dividends to investors</t>
  </si>
  <si>
    <t>A small dividend payout to early investors</t>
  </si>
  <si>
    <t>Net Cash from Financing Activities</t>
  </si>
  <si>
    <t>Net Increase (Decrease) in Cash</t>
  </si>
  <si>
    <t>The net decrease in cash (-$219,800.00) is expected for startups in their first year, reflecting significant upfront investment in product development and market entry activities before generating revenue.</t>
  </si>
  <si>
    <t>Cash at Beginning of Year</t>
  </si>
  <si>
    <t>Cash at End of Year</t>
  </si>
  <si>
    <t>References</t>
  </si>
  <si>
    <t>Salaries:</t>
  </si>
  <si>
    <r>
      <rPr>
        <i/>
        <sz val="11.0"/>
      </rPr>
      <t xml:space="preserve">For salary benchmarks </t>
    </r>
    <r>
      <rPr>
        <i/>
        <color rgb="FF000000"/>
        <sz val="11.0"/>
      </rPr>
      <t>PayScale</t>
    </r>
    <r>
      <rPr>
        <i/>
        <sz val="11.0"/>
      </rPr>
      <t xml:space="preserve">, </t>
    </r>
    <r>
      <rPr>
        <i/>
        <color rgb="FF000000"/>
        <sz val="11.0"/>
      </rPr>
      <t>Glassdoor</t>
    </r>
    <r>
      <rPr>
        <i/>
        <sz val="11.0"/>
      </rPr>
      <t xml:space="preserve">, or </t>
    </r>
    <r>
      <rPr>
        <i/>
        <color rgb="FF000000"/>
        <sz val="11.0"/>
      </rPr>
      <t>LinkedIn Salary</t>
    </r>
  </si>
  <si>
    <t>Research and Development:</t>
  </si>
  <si>
    <t>The National Science Foundation (NSF) and R&amp;D Magazine publish data and articles on R&amp;D spending trends in various industries.</t>
  </si>
  <si>
    <t>Marketing and Sales Promotion:</t>
  </si>
  <si>
    <t>Marketing costs for startups can be researched through marketing agencies' publications or industry reports from sources like HubSpot and the American Marketing Association.</t>
  </si>
  <si>
    <t>Office Rent and Utilities:</t>
  </si>
  <si>
    <r>
      <rPr>
        <i/>
        <sz val="11.0"/>
      </rPr>
      <t xml:space="preserve">Real estate services like </t>
    </r>
    <r>
      <rPr>
        <i/>
        <color rgb="FF000000"/>
        <sz val="11.0"/>
      </rPr>
      <t>CBRE</t>
    </r>
    <r>
      <rPr>
        <i/>
        <sz val="11.0"/>
      </rPr>
      <t xml:space="preserve"> or </t>
    </r>
    <r>
      <rPr>
        <i/>
        <color rgb="FF000000"/>
        <sz val="11.0"/>
      </rPr>
      <t>JLL</t>
    </r>
    <r>
      <rPr>
        <i/>
        <sz val="11.0"/>
      </rPr>
      <t xml:space="preserve"> offer reports on office rental rates in different cities.</t>
    </r>
  </si>
  <si>
    <t>Other Operating Expenses:</t>
  </si>
  <si>
    <t>General business operation cost data can often be found in business publications such as Forbes and Entrepreneur.</t>
  </si>
  <si>
    <t>Purchase of Equipment:</t>
  </si>
  <si>
    <t>For the costs of office equipment, you could look at providers like Dell for computers and networking equipment.</t>
  </si>
  <si>
    <t>Initial Capital Investment, Repayment of Loans, Investor Dividends:</t>
  </si>
  <si>
    <t>Information on startup financing can be found on websites of venture capital firms or startup-focused financial platforms like Crunchbase.</t>
  </si>
  <si>
    <t>Loan repayment terms and conditions are typically available from commercial banking resources or financial advisories.</t>
  </si>
  <si>
    <t>General Reference for Cash Flow Analysis:</t>
  </si>
  <si>
    <t>Financial textbooks and the Financial Accounting Standards Board (FASB) for accounting standards.</t>
  </si>
  <si>
    <t>Investopedia provides a wealth of information on cash flow management and financial statement analysis.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</si>
  <si>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</si>
  <si>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</si>
  <si>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</si>
  <si>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</si>
  <si>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</si>
  <si>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</si>
  <si>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</si>
  <si>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</si>
  <si>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</si>
  <si>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</si>
  <si>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Net Sales</t>
  </si>
  <si>
    <t>Costs of Revenue</t>
  </si>
  <si>
    <t xml:space="preserve">Cost of sales </t>
  </si>
  <si>
    <t>Gross Profit</t>
  </si>
  <si>
    <t>Operating Expenses</t>
  </si>
  <si>
    <t xml:space="preserve">Research and development </t>
  </si>
  <si>
    <t xml:space="preserve">Other operating expenses </t>
  </si>
  <si>
    <t>Total operating Expenses</t>
  </si>
  <si>
    <t xml:space="preserve">Operating income </t>
  </si>
  <si>
    <t xml:space="preserve">Other Revenue and Expenses </t>
  </si>
  <si>
    <t>Provision for income taxes</t>
  </si>
  <si>
    <t xml:space="preserve">Net Income </t>
  </si>
  <si>
    <t xml:space="preserve">Income Statement </t>
  </si>
  <si>
    <t>Total revenue</t>
  </si>
  <si>
    <t>Margin</t>
  </si>
  <si>
    <t xml:space="preserve">Valuation Model </t>
  </si>
  <si>
    <t>Line item</t>
  </si>
  <si>
    <t>2024 - 2033</t>
  </si>
  <si>
    <t xml:space="preserve">Revenue </t>
  </si>
  <si>
    <t>EBITDA</t>
  </si>
  <si>
    <t>EBITDA %</t>
  </si>
  <si>
    <t>EBITDA Multiple</t>
  </si>
  <si>
    <t xml:space="preserve">Enterprise Value </t>
  </si>
  <si>
    <t xml:space="preserve">Total Debt </t>
  </si>
  <si>
    <t xml:space="preserve">Plus: Total Cash </t>
  </si>
  <si>
    <t xml:space="preserve">Equity Value </t>
  </si>
  <si>
    <t>Actual Investment percentage</t>
  </si>
  <si>
    <t>Ask</t>
  </si>
  <si>
    <t>Value that we actually give away</t>
  </si>
  <si>
    <t>Value in case of Investor Negotiation</t>
  </si>
  <si>
    <t>ROI</t>
  </si>
  <si>
    <t>Capital Budgeting Analysis</t>
  </si>
  <si>
    <t>NCF</t>
  </si>
  <si>
    <t>Cum. NCF</t>
  </si>
  <si>
    <t>NPV</t>
  </si>
  <si>
    <t>IRR</t>
  </si>
  <si>
    <t>Discount Rate</t>
  </si>
  <si>
    <t>Discounted NCF</t>
  </si>
  <si>
    <t>Cumulative D. NCF</t>
  </si>
  <si>
    <t>Hiring for R&amp;D</t>
  </si>
  <si>
    <t>Refer Non-recurring costs</t>
  </si>
  <si>
    <t>Infrastructure for Testing</t>
  </si>
  <si>
    <t>Refer Production costs</t>
  </si>
  <si>
    <t>Miscellaneous Legal, Business, Finance audit consultation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</si>
</sst>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_(&quot;$&quot;* #,##0_);_(&quot;$&quot;* \(#,##0\);_(&quot;$&quot;* &quot;-&quot;??_);_(@_)"/>
    <numFmt numFmtId="166" formatCode="[$$]#,##0.00"/>
    <numFmt numFmtId="167" formatCode="&quot;$&quot;#,##0.00"/>
  </numFmts>
  <fonts count="16">
    <font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1F1F1F"/>
      <name val="Arial"/>
      <scheme val="minor"/>
    </font>
    <font>
      <b/>
      <sz val="12.0"/>
      <color rgb="FF1F1F1F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/>
    <font>
      <b/>
      <i/>
      <sz val="11.0"/>
      <color theme="1"/>
      <name val="Arial"/>
      <scheme val="minor"/>
    </font>
    <font>
      <i/>
      <u/>
      <color rgb="FF0000FF"/>
    </font>
    <font>
      <i/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</fills>
  <borders count="24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3" numFmtId="0" xfId="0" applyFont="1"/>
    <xf borderId="0" fillId="0" fontId="3" numFmtId="164" xfId="0" applyFont="1" applyNumberFormat="1"/>
    <xf borderId="0" fillId="0" fontId="3" numFmtId="0" xfId="0" applyFont="1"/>
    <xf borderId="0" fillId="0" fontId="3" numFmtId="3" xfId="0" applyFont="1" applyNumberFormat="1"/>
    <xf borderId="0" fillId="0" fontId="2" numFmtId="164" xfId="0" applyFont="1" applyNumberFormat="1"/>
    <xf borderId="0" fillId="3" fontId="2" numFmtId="0" xfId="0" applyFill="1" applyFont="1"/>
    <xf borderId="0" fillId="3" fontId="2" numFmtId="3" xfId="0" applyFont="1" applyNumberFormat="1"/>
    <xf borderId="0" fillId="0" fontId="4" numFmtId="0" xfId="0" applyAlignment="1" applyFont="1">
      <alignment readingOrder="0"/>
    </xf>
    <xf borderId="0" fillId="3" fontId="3" numFmtId="0" xfId="0" applyFont="1"/>
    <xf borderId="0" fillId="3" fontId="3" numFmtId="0" xfId="0" applyFont="1"/>
    <xf borderId="0" fillId="3" fontId="2" numFmtId="0" xfId="0" applyAlignment="1" applyFont="1">
      <alignment readingOrder="0"/>
    </xf>
    <xf borderId="0" fillId="3" fontId="2" numFmtId="164" xfId="0" applyFont="1" applyNumberFormat="1"/>
    <xf borderId="0" fillId="0" fontId="5" numFmtId="0" xfId="0" applyFont="1"/>
    <xf borderId="0" fillId="0" fontId="6" numFmtId="0" xfId="0" applyFont="1"/>
    <xf borderId="0" fillId="0" fontId="6" numFmtId="0" xfId="0" applyFont="1"/>
    <xf borderId="0" fillId="0" fontId="3" numFmtId="165" xfId="0" applyFont="1" applyNumberFormat="1"/>
    <xf borderId="0" fillId="0" fontId="3" numFmtId="164" xfId="0" applyFont="1" applyNumberFormat="1"/>
    <xf borderId="0" fillId="0" fontId="2" numFmtId="0" xfId="0" applyFont="1"/>
    <xf borderId="0" fillId="2" fontId="2" numFmtId="0" xfId="0" applyFont="1"/>
    <xf borderId="0" fillId="3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6" xfId="0" applyFont="1" applyNumberFormat="1"/>
    <xf borderId="0" fillId="2" fontId="7" numFmtId="0" xfId="0" applyAlignment="1" applyFont="1">
      <alignment horizontal="center"/>
    </xf>
    <xf borderId="0" fillId="0" fontId="0" numFmtId="0" xfId="0" applyFont="1"/>
    <xf borderId="0" fillId="3" fontId="2" numFmtId="0" xfId="0" applyFont="1"/>
    <xf borderId="0" fillId="2" fontId="7" numFmtId="0" xfId="0" applyFont="1"/>
    <xf borderId="0" fillId="0" fontId="3" numFmtId="9" xfId="0" applyFont="1" applyNumberFormat="1"/>
    <xf borderId="0" fillId="0" fontId="3" numFmtId="167" xfId="0" applyFont="1" applyNumberFormat="1"/>
    <xf borderId="0" fillId="0" fontId="3" numFmtId="167" xfId="0" applyFont="1" applyNumberFormat="1"/>
    <xf borderId="0" fillId="0" fontId="0" numFmtId="167" xfId="0" applyFont="1" applyNumberFormat="1"/>
    <xf borderId="0" fillId="0" fontId="0" numFmtId="3" xfId="0" applyFont="1" applyNumberFormat="1"/>
    <xf borderId="0" fillId="0" fontId="0" numFmtId="0" xfId="0" applyAlignment="1" applyFont="1">
      <alignment readingOrder="0"/>
    </xf>
    <xf borderId="0" fillId="3" fontId="7" numFmtId="0" xfId="0" applyAlignment="1" applyFont="1">
      <alignment readingOrder="0"/>
    </xf>
    <xf borderId="0" fillId="4" fontId="8" numFmtId="0" xfId="0" applyAlignment="1" applyFill="1" applyFont="1">
      <alignment readingOrder="0"/>
    </xf>
    <xf borderId="0" fillId="4" fontId="8" numFmtId="0" xfId="0" applyFont="1"/>
    <xf borderId="0" fillId="4" fontId="9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3" numFmtId="0" xfId="0" applyBorder="1" applyFont="1"/>
    <xf borderId="5" fillId="0" fontId="3" numFmtId="1" xfId="0" applyBorder="1" applyFont="1" applyNumberFormat="1"/>
    <xf borderId="6" fillId="0" fontId="3" numFmtId="1" xfId="0" applyBorder="1" applyFont="1" applyNumberFormat="1"/>
    <xf borderId="7" fillId="5" fontId="2" numFmtId="0" xfId="0" applyAlignment="1" applyBorder="1" applyFill="1" applyFont="1">
      <alignment readingOrder="0"/>
    </xf>
    <xf borderId="8" fillId="5" fontId="2" numFmtId="3" xfId="0" applyBorder="1" applyFont="1" applyNumberFormat="1"/>
    <xf borderId="9" fillId="5" fontId="2" numFmtId="3" xfId="0" applyBorder="1" applyFont="1" applyNumberFormat="1"/>
    <xf borderId="0" fillId="0" fontId="2" numFmtId="0" xfId="0" applyFont="1"/>
    <xf borderId="10" fillId="0" fontId="3" numFmtId="0" xfId="0" applyAlignment="1" applyBorder="1" applyFont="1">
      <alignment readingOrder="0"/>
    </xf>
    <xf borderId="11" fillId="0" fontId="3" numFmtId="4" xfId="0" applyBorder="1" applyFont="1" applyNumberFormat="1"/>
    <xf borderId="12" fillId="0" fontId="3" numFmtId="0" xfId="0" applyBorder="1" applyFont="1"/>
    <xf borderId="13" fillId="0" fontId="10" numFmtId="0" xfId="0" applyAlignment="1" applyBorder="1" applyFont="1">
      <alignment horizontal="center" readingOrder="0" shrinkToFit="0" wrapText="1"/>
    </xf>
    <xf borderId="13" fillId="0" fontId="3" numFmtId="0" xfId="0" applyAlignment="1" applyBorder="1" applyFont="1">
      <alignment horizontal="center" readingOrder="0"/>
    </xf>
    <xf borderId="13" fillId="0" fontId="11" numFmtId="0" xfId="0" applyAlignment="1" applyBorder="1" applyFont="1">
      <alignment horizontal="center" readingOrder="0" shrinkToFit="0" wrapText="1"/>
    </xf>
    <xf borderId="13" fillId="0" fontId="11" numFmtId="0" xfId="0" applyAlignment="1" applyBorder="1" applyFont="1">
      <alignment horizontal="left" readingOrder="0" shrinkToFit="0" wrapText="1"/>
    </xf>
    <xf borderId="13" fillId="0" fontId="11" numFmtId="167" xfId="0" applyAlignment="1" applyBorder="1" applyFont="1" applyNumberFormat="1">
      <alignment horizontal="left" readingOrder="0" shrinkToFit="0" wrapText="1"/>
    </xf>
    <xf borderId="13" fillId="0" fontId="3" numFmtId="167" xfId="0" applyAlignment="1" applyBorder="1" applyFont="1" applyNumberFormat="1">
      <alignment horizontal="center" shrinkToFit="0" vertical="top" wrapText="1"/>
    </xf>
    <xf borderId="14" fillId="0" fontId="11" numFmtId="0" xfId="0" applyAlignment="1" applyBorder="1" applyFont="1">
      <alignment horizontal="center" readingOrder="0" shrinkToFit="0" vertical="center" wrapText="1"/>
    </xf>
    <xf borderId="15" fillId="0" fontId="12" numFmtId="0" xfId="0" applyBorder="1" applyFont="1"/>
    <xf borderId="16" fillId="0" fontId="12" numFmtId="0" xfId="0" applyBorder="1" applyFont="1"/>
    <xf borderId="13" fillId="0" fontId="11" numFmtId="0" xfId="0" applyAlignment="1" applyBorder="1" applyFont="1">
      <alignment horizontal="left" readingOrder="0" shrinkToFit="0" wrapText="0"/>
    </xf>
    <xf borderId="0" fillId="2" fontId="2" numFmtId="0" xfId="0" applyFont="1"/>
    <xf borderId="0" fillId="0" fontId="3" numFmtId="4" xfId="0" applyFont="1" applyNumberFormat="1"/>
    <xf borderId="0" fillId="2" fontId="2" numFmtId="0" xfId="0" applyAlignment="1" applyFont="1">
      <alignment readingOrder="0"/>
    </xf>
    <xf borderId="0" fillId="0" fontId="2" numFmtId="164" xfId="0" applyFont="1" applyNumberFormat="1"/>
    <xf borderId="0" fillId="2" fontId="3" numFmtId="0" xfId="0" applyFont="1"/>
    <xf borderId="0" fillId="2" fontId="2" numFmtId="164" xfId="0" applyFont="1" applyNumberFormat="1"/>
    <xf borderId="0" fillId="0" fontId="6" numFmtId="0" xfId="0" applyFont="1"/>
    <xf borderId="0" fillId="6" fontId="2" numFmtId="0" xfId="0" applyFill="1" applyFont="1"/>
    <xf borderId="0" fillId="6" fontId="3" numFmtId="0" xfId="0" applyFont="1"/>
    <xf borderId="0" fillId="6" fontId="3" numFmtId="167" xfId="0" applyFont="1" applyNumberFormat="1"/>
    <xf borderId="0" fillId="2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Font="1"/>
    <xf borderId="0" fillId="0" fontId="3" numFmtId="0" xfId="0" applyAlignment="1" applyFont="1">
      <alignment horizontal="right" readingOrder="0"/>
    </xf>
    <xf borderId="0" fillId="7" fontId="2" numFmtId="0" xfId="0" applyAlignment="1" applyFill="1" applyFont="1">
      <alignment readingOrder="0"/>
    </xf>
    <xf borderId="0" fillId="7" fontId="3" numFmtId="0" xfId="0" applyFont="1"/>
    <xf borderId="0" fillId="0" fontId="3" numFmtId="164" xfId="0" applyAlignment="1" applyFont="1" applyNumberFormat="1">
      <alignment readingOrder="0"/>
    </xf>
    <xf borderId="0" fillId="2" fontId="2" numFmtId="0" xfId="0" applyAlignment="1" applyFont="1">
      <alignment horizontal="center" readingOrder="0"/>
    </xf>
    <xf borderId="0" fillId="0" fontId="3" numFmtId="10" xfId="0" applyFont="1" applyNumberFormat="1"/>
    <xf borderId="0" fillId="2" fontId="2" numFmtId="164" xfId="0" applyFont="1" applyNumberFormat="1"/>
    <xf borderId="0" fillId="2" fontId="2" numFmtId="0" xfId="0" applyAlignment="1" applyFont="1">
      <alignment horizontal="center"/>
    </xf>
    <xf borderId="17" fillId="0" fontId="2" numFmtId="0" xfId="0" applyAlignment="1" applyBorder="1" applyFont="1">
      <alignment horizontal="center"/>
    </xf>
    <xf borderId="18" fillId="0" fontId="12" numFmtId="0" xfId="0" applyBorder="1" applyFont="1"/>
    <xf borderId="19" fillId="0" fontId="12" numFmtId="0" xfId="0" applyBorder="1" applyFont="1"/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Border="1" applyFont="1"/>
    <xf borderId="5" fillId="0" fontId="3" numFmtId="164" xfId="0" applyAlignment="1" applyBorder="1" applyFont="1" applyNumberFormat="1">
      <alignment horizontal="center"/>
    </xf>
    <xf borderId="6" fillId="0" fontId="3" numFmtId="164" xfId="0" applyAlignment="1" applyBorder="1" applyFont="1" applyNumberFormat="1">
      <alignment horizontal="center"/>
    </xf>
    <xf borderId="7" fillId="0" fontId="2" numFmtId="0" xfId="0" applyBorder="1" applyFont="1"/>
    <xf borderId="20" fillId="0" fontId="3" numFmtId="164" xfId="0" applyAlignment="1" applyBorder="1" applyFont="1" applyNumberFormat="1">
      <alignment horizontal="center"/>
    </xf>
    <xf borderId="21" fillId="0" fontId="12" numFmtId="0" xfId="0" applyBorder="1" applyFont="1"/>
    <xf borderId="22" fillId="0" fontId="12" numFmtId="0" xfId="0" applyBorder="1" applyFont="1"/>
    <xf borderId="8" fillId="0" fontId="2" numFmtId="164" xfId="0" applyAlignment="1" applyBorder="1" applyFont="1" applyNumberFormat="1">
      <alignment horizontal="center" readingOrder="0"/>
    </xf>
    <xf borderId="20" fillId="0" fontId="3" numFmtId="9" xfId="0" applyAlignment="1" applyBorder="1" applyFont="1" applyNumberFormat="1">
      <alignment horizontal="center"/>
    </xf>
    <xf borderId="23" fillId="0" fontId="12" numFmtId="0" xfId="0" applyBorder="1" applyFont="1"/>
    <xf borderId="0" fillId="0" fontId="3" numFmtId="164" xfId="0" applyFont="1" applyNumberFormat="1"/>
    <xf borderId="0" fillId="0" fontId="3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78B8"/>
              </a:solidFill>
            </c:spPr>
          </c:dPt>
          <c:dPt>
            <c:idx val="1"/>
            <c:spPr>
              <a:solidFill>
                <a:srgbClr val="0091DE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'Development Costs Non Recurrent'!$B$3:$B$4</c:f>
            </c:strRef>
          </c:cat>
          <c:val>
            <c:numRef>
              <c:f>'Development Costs Non Recurrent'!$H$3:$H$4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Pt>
            <c:idx val="2"/>
            <c:spPr>
              <a:solidFill>
                <a:srgbClr val="00A3FA"/>
              </a:solidFill>
            </c:spPr>
          </c:dPt>
          <c:dPt>
            <c:idx val="3"/>
            <c:spPr>
              <a:solidFill>
                <a:srgbClr val="38761D"/>
              </a:solidFill>
            </c:spPr>
          </c:dPt>
          <c:dPt>
            <c:idx val="4"/>
            <c:spPr>
              <a:solidFill>
                <a:srgbClr val="3D85C6"/>
              </a:solidFill>
            </c:spPr>
          </c:dPt>
          <c:dPt>
            <c:idx val="5"/>
            <c:spPr>
              <a:solidFill>
                <a:srgbClr val="8E7CC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'Development Costs Non Recurrent'!$B$7:$B$12</c:f>
            </c:strRef>
          </c:cat>
          <c:val>
            <c:numRef>
              <c:f>'Development Costs Non Recurrent'!$H$7:$H$12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'Development Costs Non Recurrent'!$B$15:$B$16</c:f>
            </c:strRef>
          </c:cat>
          <c:val>
            <c:numRef>
              <c:f>'Development Costs Non Recurrent'!$H$15:$H$16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'Development Costs Non Recurrent'!$B$19:$B$20</c:f>
            </c:strRef>
          </c:cat>
          <c:val>
            <c:numRef>
              <c:f>'Development Costs Non Recurrent'!$H$19:$H$20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6D9EEB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Pt>
            <c:idx val="3"/>
            <c:spPr>
              <a:solidFill>
                <a:srgbClr val="FFD9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'Production Costs Recurrent Cost'!$B$24:$B$27</c:f>
            </c:strRef>
          </c:cat>
          <c:val>
            <c:numRef>
              <c:f>'Production Costs Recurrent Cost'!$C$24:$C$27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'Sales Forecast'!$A$3:$A$12</c:f>
            </c:strRef>
          </c:cat>
          <c:val>
            <c:numRef>
              <c:f>'Sales Forecast'!$A$3:$A$12</c:f>
              <c:numCache/>
            </c:numRef>
          </c:val>
        </c:ser>
        <c:axId val="1986792412"/>
        <c:axId val="1324215308"/>
      </c:barChart>
      <c:catAx>
        <c:axId val="1986792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215308"/>
      </c:catAx>
      <c:valAx>
        <c:axId val="132421530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86792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'Income Statement'!$C$1:$L$1</c:f>
            </c:strRef>
          </c:cat>
          <c:val>
            <c:numRef>
              <c:f>'Income Statement'!$C$3:$L$3</c:f>
              <c:numCache/>
            </c:numRef>
          </c:val>
        </c:ser>
        <c:ser>
          <c:idx val="1"/>
          <c:order val="1"/>
          <c:tx>
            <c:v>Profit</c:v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dPt>
            <c:idx val="9"/>
          </c:dPt>
          <c:cat>
            <c:strRef>
              <c:f>'Income Statement'!$C$1:$L$1</c:f>
            </c:strRef>
          </c:cat>
          <c:val>
            <c:numRef>
              <c:f>'Income Statement'!$C$6:$L$6</c:f>
              <c:numCache/>
            </c:numRef>
          </c:val>
        </c:ser>
        <c:ser>
          <c:idx val="2"/>
          <c:order val="2"/>
          <c:tx>
            <c:v>Costs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'Income Statement'!$C$1:$L$1</c:f>
            </c:strRef>
          </c:cat>
          <c:val>
            <c:numRef>
              <c:f>'Income Statement'!$C$10:$L$10</c:f>
              <c:numCache/>
            </c:numRef>
          </c:val>
        </c:ser>
        <c:axId val="913227150"/>
        <c:axId val="1146567066"/>
      </c:barChart>
      <c:catAx>
        <c:axId val="913227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146567066"/>
      </c:catAx>
      <c:valAx>
        <c:axId val="1146567066"/>
        <c:scaling>
          <c:orientation val="minMax"/>
          <c:max val="21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913227150"/>
      </c:valAx>
    </c:plotArea>
    <c:legend>
      <c:legendPos val="b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spPr>
            <a:solidFill>
              <a:srgbClr val="0078B8">
                <a:alpha val="30000"/>
              </a:srgbClr>
            </a:solidFill>
            <a:ln cmpd="sng">
              <a:solidFill>
                <a:srgbClr val="0078B8"/>
              </a:solidFill>
            </a:ln>
          </c:spPr>
          <c:cat>
            <c:strRef>
              <c:f>'Capital Budgeting Analysis'!$B$3:$L$3</c:f>
            </c:strRef>
          </c:cat>
          <c:val>
            <c:numRef>
              <c:f>'Capital Budgeting Analysis'!$B$4:$L$4</c:f>
              <c:numCache/>
            </c:numRef>
          </c:val>
        </c:ser>
        <c:axId val="607078966"/>
        <c:axId val="187820380"/>
      </c:areaChart>
      <c:catAx>
        <c:axId val="607078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87820380"/>
      </c:catAx>
      <c:valAx>
        <c:axId val="187820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6070789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000000"/>
                </a:solidFill>
                <a:latin typeface="Arial"/>
              </a:defRPr>
            </a:pPr>
            <a:r>
              <a:rPr b="1" sz="1200">
                <a:solidFill>
                  <a:srgbClr val="000000"/>
                </a:solidFill>
                <a:latin typeface="Arial"/>
              </a:rPr>
              <a:t>Investment Spending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78B8"/>
              </a:solidFill>
            </c:spPr>
          </c:dPt>
          <c:dPt>
            <c:idx val="1"/>
            <c:spPr>
              <a:solidFill>
                <a:srgbClr val="1382DB"/>
              </a:solidFill>
            </c:spPr>
          </c:dPt>
          <c:dPt>
            <c:idx val="2"/>
            <c:spPr>
              <a:solidFill>
                <a:srgbClr val="1FC2E1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'Investment Spending'!$A$1:$A$4</c:f>
            </c:strRef>
          </c:cat>
          <c:val>
            <c:numRef>
              <c:f>'Investment Spending'!$B$1:$B$4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sz="1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104775</xdr:rowOff>
    </xdr:from>
    <xdr:ext cx="9248775" cy="4972050"/>
    <xdr:sp>
      <xdr:nvSpPr>
        <xdr:cNvPr id="3" name="Shape 3"/>
        <xdr:cNvSpPr txBox="1"/>
      </xdr:nvSpPr>
      <xdr:spPr>
        <a:xfrm>
          <a:off x="726375" y="1298738"/>
          <a:ext cx="9239250" cy="4962525"/>
        </a:xfrm>
        <a:prstGeom prst="rect">
          <a:avLst/>
        </a:prstGeom>
        <a:solidFill>
          <a:schemeClr val="lt1"/>
        </a:solidFill>
        <a:ln cap="flat" cmpd="sng" w="9525">
          <a:solidFill>
            <a:srgbClr val="B2B7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247650</xdr:colOff>
      <xdr:row>1</xdr:row>
      <xdr:rowOff>76200</xdr:rowOff>
    </xdr:from>
    <xdr:ext cx="7639050" cy="4724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438150</xdr:colOff>
      <xdr:row>3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</xdr:colOff>
      <xdr:row>3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438150</xdr:colOff>
      <xdr:row>25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19050</xdr:colOff>
      <xdr:row>25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19</xdr:row>
      <xdr:rowOff>38100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876300</xdr:colOff>
      <xdr:row>38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1276350</xdr:colOff>
      <xdr:row>32</xdr:row>
      <xdr:rowOff>152400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180975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180975</xdr:rowOff>
    </xdr:from>
    <xdr:ext cx="4410075" cy="43815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5FCFF"/>
      </a:lt1>
      <a:dk2>
        <a:srgbClr val="000000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yscale.com/" TargetMode="External"/><Relationship Id="rId2" Type="http://schemas.openxmlformats.org/officeDocument/2006/relationships/hyperlink" Target="https://www.nsf.gov/" TargetMode="External"/><Relationship Id="rId3" Type="http://schemas.openxmlformats.org/officeDocument/2006/relationships/hyperlink" Target="https://www.hubspot.com/" TargetMode="External"/><Relationship Id="rId4" Type="http://schemas.openxmlformats.org/officeDocument/2006/relationships/hyperlink" Target="https://www.cbre.com/" TargetMode="External"/><Relationship Id="rId10" Type="http://schemas.openxmlformats.org/officeDocument/2006/relationships/drawing" Target="../drawings/drawing9.xml"/><Relationship Id="rId9" Type="http://schemas.openxmlformats.org/officeDocument/2006/relationships/hyperlink" Target="https://www.investopedia.com/" TargetMode="External"/><Relationship Id="rId5" Type="http://schemas.openxmlformats.org/officeDocument/2006/relationships/hyperlink" Target="https://www.forbes.com/" TargetMode="External"/><Relationship Id="rId6" Type="http://schemas.openxmlformats.org/officeDocument/2006/relationships/hyperlink" Target="https://www.dell.com/" TargetMode="External"/><Relationship Id="rId7" Type="http://schemas.openxmlformats.org/officeDocument/2006/relationships/hyperlink" Target="https://www.crunchbase.com/" TargetMode="External"/><Relationship Id="rId8" Type="http://schemas.openxmlformats.org/officeDocument/2006/relationships/hyperlink" Target="https://www.fasb.org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9.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5.0"/>
    <col customWidth="1" min="2" max="2" width="23.9"/>
    <col customWidth="1" min="3" max="3" width="35.5"/>
    <col customWidth="1" min="4" max="4" width="43.7"/>
    <col customWidth="1" min="5" max="5" width="11.1"/>
    <col customWidth="1" min="6" max="6" width="13.9"/>
    <col customWidth="1" min="7" max="7" width="20.3"/>
    <col customWidth="1" min="8" max="8" width="19.5"/>
    <col customWidth="1" min="9" max="9" width="15.3"/>
    <col customWidth="1" min="10" max="26" width="9.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60.0</v>
      </c>
      <c r="G3" s="4">
        <v>800.0</v>
      </c>
      <c r="H3" s="4">
        <v>96000.0</v>
      </c>
    </row>
    <row r="4">
      <c r="A4" s="5"/>
      <c r="B4" s="3" t="s">
        <v>15</v>
      </c>
      <c r="C4" s="6" t="s">
        <v>16</v>
      </c>
      <c r="D4" s="3" t="s">
        <v>17</v>
      </c>
      <c r="E4" s="3" t="s">
        <v>14</v>
      </c>
      <c r="F4" s="3">
        <v>60.0</v>
      </c>
      <c r="G4" s="4">
        <v>1000.0</v>
      </c>
      <c r="H4" s="4">
        <v>60000.0</v>
      </c>
    </row>
    <row r="5">
      <c r="B5" s="3"/>
      <c r="C5" s="3"/>
      <c r="D5" s="3"/>
      <c r="E5" s="3"/>
      <c r="F5" s="3"/>
      <c r="G5" s="3" t="s">
        <v>18</v>
      </c>
      <c r="H5" s="7">
        <f>SUM(H3:H4)</f>
        <v>156000</v>
      </c>
    </row>
    <row r="6">
      <c r="A6" s="8" t="s">
        <v>19</v>
      </c>
      <c r="B6" s="9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</row>
    <row r="7">
      <c r="A7" s="3" t="s">
        <v>20</v>
      </c>
      <c r="B7" s="6" t="s">
        <v>21</v>
      </c>
      <c r="C7" s="6" t="s">
        <v>22</v>
      </c>
      <c r="D7" s="3" t="s">
        <v>23</v>
      </c>
      <c r="E7" s="3" t="s">
        <v>24</v>
      </c>
      <c r="F7" s="3" t="s">
        <v>24</v>
      </c>
      <c r="G7" s="3" t="s">
        <v>25</v>
      </c>
      <c r="H7" s="4">
        <v>500.0</v>
      </c>
    </row>
    <row r="8">
      <c r="A8" s="3" t="s">
        <v>26</v>
      </c>
      <c r="B8" s="6" t="s">
        <v>27</v>
      </c>
      <c r="C8" s="6" t="s">
        <v>28</v>
      </c>
      <c r="D8" s="3" t="s">
        <v>17</v>
      </c>
      <c r="E8" s="3" t="s">
        <v>14</v>
      </c>
      <c r="F8" s="3">
        <v>60.0</v>
      </c>
      <c r="G8" s="4">
        <v>800.0</v>
      </c>
      <c r="H8" s="4">
        <v>48000.0</v>
      </c>
    </row>
    <row r="9">
      <c r="A9" s="5"/>
      <c r="B9" s="6" t="s">
        <v>29</v>
      </c>
      <c r="C9" s="6" t="s">
        <v>30</v>
      </c>
      <c r="D9" s="3" t="s">
        <v>17</v>
      </c>
      <c r="E9" s="3" t="s">
        <v>14</v>
      </c>
      <c r="F9" s="3">
        <v>60.0</v>
      </c>
      <c r="G9" s="4">
        <v>800.0</v>
      </c>
      <c r="H9" s="4">
        <v>48000.0</v>
      </c>
    </row>
    <row r="10">
      <c r="A10" s="5"/>
      <c r="B10" s="6" t="s">
        <v>31</v>
      </c>
      <c r="C10" s="6" t="s">
        <v>32</v>
      </c>
      <c r="D10" s="3" t="s">
        <v>33</v>
      </c>
      <c r="E10" s="3" t="s">
        <v>24</v>
      </c>
      <c r="F10" s="3" t="s">
        <v>24</v>
      </c>
      <c r="G10" s="4">
        <v>200.0</v>
      </c>
      <c r="H10" s="4">
        <v>200.0</v>
      </c>
    </row>
    <row r="11">
      <c r="A11" s="5"/>
      <c r="B11" s="6" t="s">
        <v>34</v>
      </c>
      <c r="C11" s="6" t="s">
        <v>35</v>
      </c>
      <c r="D11" s="3" t="s">
        <v>24</v>
      </c>
      <c r="E11" s="3" t="s">
        <v>24</v>
      </c>
      <c r="F11" s="3" t="s">
        <v>24</v>
      </c>
      <c r="G11" s="3" t="s">
        <v>24</v>
      </c>
      <c r="H11" s="4">
        <v>2000.0</v>
      </c>
    </row>
    <row r="12">
      <c r="A12" s="5"/>
      <c r="B12" s="6" t="s">
        <v>36</v>
      </c>
      <c r="C12" s="3" t="s">
        <v>37</v>
      </c>
      <c r="D12" s="3" t="s">
        <v>38</v>
      </c>
      <c r="E12" s="3" t="s">
        <v>24</v>
      </c>
      <c r="F12" s="3" t="s">
        <v>24</v>
      </c>
      <c r="G12" s="3" t="s">
        <v>39</v>
      </c>
      <c r="H12" s="4">
        <v>4000.0</v>
      </c>
    </row>
    <row r="13">
      <c r="B13" s="3"/>
      <c r="C13" s="3"/>
      <c r="D13" s="3"/>
      <c r="E13" s="3"/>
      <c r="F13" s="3"/>
      <c r="G13" s="3" t="s">
        <v>18</v>
      </c>
      <c r="H13" s="7">
        <f>SUM(H7:H12)</f>
        <v>102700</v>
      </c>
      <c r="J13" s="5"/>
    </row>
    <row r="14">
      <c r="A14" s="8" t="s">
        <v>40</v>
      </c>
      <c r="B14" s="9" t="s">
        <v>3</v>
      </c>
      <c r="C14" s="9" t="s">
        <v>4</v>
      </c>
      <c r="D14" s="8" t="s">
        <v>5</v>
      </c>
      <c r="E14" s="8" t="s">
        <v>6</v>
      </c>
      <c r="F14" s="8" t="s">
        <v>7</v>
      </c>
      <c r="G14" s="8" t="s">
        <v>8</v>
      </c>
      <c r="H14" s="8" t="s">
        <v>9</v>
      </c>
    </row>
    <row r="15">
      <c r="A15" s="10" t="s">
        <v>41</v>
      </c>
      <c r="B15" s="3" t="s">
        <v>42</v>
      </c>
      <c r="C15" s="6" t="s">
        <v>43</v>
      </c>
      <c r="D15" s="3" t="s">
        <v>17</v>
      </c>
      <c r="E15" s="3" t="s">
        <v>14</v>
      </c>
      <c r="F15" s="3">
        <v>30.0</v>
      </c>
      <c r="G15" s="4">
        <v>1000.0</v>
      </c>
      <c r="H15" s="4">
        <v>30000.0</v>
      </c>
    </row>
    <row r="16">
      <c r="A16" s="5"/>
      <c r="B16" s="3" t="s">
        <v>44</v>
      </c>
      <c r="C16" s="6" t="s">
        <v>45</v>
      </c>
      <c r="D16" s="3" t="s">
        <v>17</v>
      </c>
      <c r="E16" s="3" t="s">
        <v>14</v>
      </c>
      <c r="F16" s="3">
        <v>30.0</v>
      </c>
      <c r="G16" s="4">
        <v>800.0</v>
      </c>
      <c r="H16" s="4">
        <v>24000.0</v>
      </c>
    </row>
    <row r="17">
      <c r="B17" s="3"/>
      <c r="C17" s="3"/>
      <c r="D17" s="3"/>
      <c r="E17" s="3"/>
      <c r="F17" s="3"/>
      <c r="G17" s="3" t="s">
        <v>18</v>
      </c>
      <c r="H17" s="7">
        <f>SUM(H15:H16)</f>
        <v>54000</v>
      </c>
    </row>
    <row r="18">
      <c r="A18" s="8" t="s">
        <v>46</v>
      </c>
      <c r="B18" s="9" t="s">
        <v>3</v>
      </c>
      <c r="C18" s="8" t="s">
        <v>4</v>
      </c>
      <c r="D18" s="8" t="s">
        <v>5</v>
      </c>
      <c r="E18" s="8" t="s">
        <v>6</v>
      </c>
      <c r="F18" s="8" t="s">
        <v>7</v>
      </c>
      <c r="G18" s="8" t="s">
        <v>8</v>
      </c>
      <c r="H18" s="8" t="s">
        <v>9</v>
      </c>
    </row>
    <row r="19">
      <c r="A19" s="3" t="s">
        <v>47</v>
      </c>
      <c r="B19" s="3" t="s">
        <v>15</v>
      </c>
      <c r="C19" s="3" t="s">
        <v>48</v>
      </c>
      <c r="D19" s="3" t="s">
        <v>17</v>
      </c>
      <c r="E19" s="3" t="s">
        <v>14</v>
      </c>
      <c r="F19" s="3">
        <v>30.0</v>
      </c>
      <c r="G19" s="4">
        <v>1000.0</v>
      </c>
      <c r="H19" s="4">
        <v>30000.0</v>
      </c>
    </row>
    <row r="20">
      <c r="A20" s="5"/>
      <c r="B20" s="3" t="s">
        <v>49</v>
      </c>
      <c r="C20" s="3" t="s">
        <v>50</v>
      </c>
      <c r="D20" s="3" t="s">
        <v>17</v>
      </c>
      <c r="E20" s="3" t="s">
        <v>14</v>
      </c>
      <c r="F20" s="3">
        <v>30.0</v>
      </c>
      <c r="G20" s="4">
        <v>800.0</v>
      </c>
      <c r="H20" s="4">
        <v>24000.0</v>
      </c>
    </row>
    <row r="21">
      <c r="B21" s="3"/>
      <c r="C21" s="3"/>
      <c r="D21" s="3"/>
      <c r="E21" s="3"/>
      <c r="F21" s="3"/>
      <c r="G21" s="3" t="s">
        <v>18</v>
      </c>
      <c r="H21" s="7">
        <f>SUM(H19:H20)</f>
        <v>54000</v>
      </c>
    </row>
    <row r="22" ht="15.75" customHeight="1">
      <c r="A22" s="11"/>
      <c r="B22" s="11"/>
      <c r="C22" s="11"/>
      <c r="D22" s="11"/>
      <c r="E22" s="12"/>
      <c r="F22" s="12"/>
      <c r="G22" s="13" t="s">
        <v>51</v>
      </c>
      <c r="H22" s="14">
        <f>SUM(H5+H13+H17+H21)</f>
        <v>366700</v>
      </c>
    </row>
    <row r="23" ht="15.75" customHeight="1"/>
    <row r="24" ht="15.75" customHeight="1">
      <c r="A24" s="15" t="s">
        <v>52</v>
      </c>
    </row>
    <row r="25" ht="15.75" customHeight="1">
      <c r="A25" s="16"/>
      <c r="B25" s="5"/>
      <c r="C25" s="5"/>
      <c r="D25" s="5"/>
      <c r="E25" s="5"/>
      <c r="F25" s="5"/>
      <c r="G25" s="5"/>
      <c r="H25" s="5"/>
    </row>
    <row r="26" ht="15.75" customHeight="1">
      <c r="A26" s="17" t="s">
        <v>53</v>
      </c>
      <c r="B26" s="5"/>
      <c r="C26" s="5"/>
      <c r="D26" s="5"/>
      <c r="E26" s="5"/>
      <c r="F26" s="5"/>
      <c r="G26" s="3"/>
      <c r="H26" s="18"/>
    </row>
    <row r="27" ht="15.75" customHeight="1">
      <c r="A27" s="17" t="s">
        <v>54</v>
      </c>
      <c r="B27" s="5"/>
      <c r="C27" s="5"/>
      <c r="D27" s="5"/>
      <c r="E27" s="5"/>
      <c r="F27" s="5"/>
      <c r="G27" s="19"/>
      <c r="H27" s="18"/>
    </row>
    <row r="28" ht="15.75" customHeight="1">
      <c r="A28" s="17" t="s">
        <v>55</v>
      </c>
      <c r="B28" s="5"/>
      <c r="C28" s="5"/>
      <c r="D28" s="5"/>
      <c r="E28" s="5"/>
      <c r="F28" s="5"/>
      <c r="G28" s="19"/>
      <c r="H28" s="18"/>
    </row>
    <row r="29" ht="15.75" customHeight="1">
      <c r="A29" s="17" t="s">
        <v>56</v>
      </c>
      <c r="B29" s="5"/>
      <c r="C29" s="5"/>
      <c r="D29" s="5"/>
      <c r="E29" s="5"/>
      <c r="F29" s="5"/>
      <c r="G29" s="5"/>
      <c r="H29" s="18"/>
    </row>
    <row r="30" ht="15.75" customHeight="1">
      <c r="A30" s="17" t="s">
        <v>57</v>
      </c>
      <c r="B30" s="5"/>
      <c r="C30" s="5"/>
      <c r="D30" s="5"/>
      <c r="E30" s="5"/>
      <c r="F30" s="5"/>
      <c r="G30" s="5"/>
      <c r="H30" s="18"/>
    </row>
    <row r="31" ht="15.75" customHeight="1">
      <c r="A31" s="17" t="s">
        <v>58</v>
      </c>
      <c r="B31" s="5"/>
      <c r="C31" s="5"/>
      <c r="D31" s="5"/>
      <c r="E31" s="5"/>
      <c r="F31" s="5"/>
      <c r="G31" s="19"/>
      <c r="H31" s="18"/>
    </row>
    <row r="32" ht="15.75" customHeight="1">
      <c r="A32" s="5"/>
      <c r="B32" s="5"/>
      <c r="C32" s="5"/>
      <c r="D32" s="5"/>
      <c r="E32" s="5"/>
      <c r="F32" s="5"/>
      <c r="G32" s="19"/>
      <c r="H32" s="18"/>
    </row>
    <row r="33" ht="15.75" customHeight="1">
      <c r="B33" s="5"/>
      <c r="C33" s="5"/>
      <c r="D33" s="5"/>
      <c r="E33" s="5"/>
      <c r="F33" s="5"/>
      <c r="G33" s="5"/>
      <c r="H33" s="18"/>
    </row>
    <row r="34" ht="15.75" customHeight="1">
      <c r="A34" s="20"/>
      <c r="B34" s="5"/>
      <c r="C34" s="5"/>
      <c r="D34" s="5"/>
      <c r="E34" s="5"/>
      <c r="F34" s="5"/>
      <c r="G34" s="19"/>
      <c r="H34" s="18"/>
    </row>
    <row r="35" ht="15.75" customHeight="1">
      <c r="B35" s="5"/>
      <c r="C35" s="5"/>
      <c r="D35" s="5"/>
      <c r="E35" s="5"/>
      <c r="F35" s="5"/>
      <c r="G35" s="19"/>
      <c r="H35" s="18"/>
    </row>
    <row r="36" ht="15.75" customHeight="1">
      <c r="B36" s="5"/>
      <c r="C36" s="5"/>
      <c r="D36" s="5"/>
      <c r="E36" s="5"/>
      <c r="F36" s="5"/>
      <c r="G36" s="19"/>
      <c r="H36" s="18"/>
    </row>
    <row r="37" ht="15.75" customHeight="1">
      <c r="A37" s="5"/>
      <c r="B37" s="5"/>
      <c r="C37" s="5"/>
      <c r="D37" s="5"/>
      <c r="E37" s="5"/>
      <c r="F37" s="5"/>
      <c r="G37" s="5"/>
      <c r="H37" s="18"/>
    </row>
    <row r="38" ht="15.75" customHeight="1">
      <c r="A38" s="5"/>
      <c r="B38" s="5"/>
      <c r="C38" s="5"/>
      <c r="D38" s="5"/>
      <c r="E38" s="5"/>
      <c r="F38" s="5"/>
      <c r="G38" s="19"/>
      <c r="H38" s="18"/>
    </row>
    <row r="39" ht="15.75" customHeight="1">
      <c r="A39" s="5"/>
      <c r="B39" s="5"/>
      <c r="C39" s="5"/>
      <c r="D39" s="5"/>
      <c r="E39" s="5"/>
      <c r="F39" s="5"/>
      <c r="G39" s="19"/>
      <c r="H39" s="18"/>
    </row>
    <row r="40" ht="15.75" customHeight="1">
      <c r="A40" s="5"/>
      <c r="B40" s="5"/>
      <c r="C40" s="5"/>
      <c r="D40" s="5"/>
      <c r="E40" s="5"/>
      <c r="F40" s="5"/>
      <c r="G40" s="19"/>
      <c r="H40" s="18"/>
    </row>
    <row r="41" ht="15.75" customHeight="1">
      <c r="A41" s="5"/>
      <c r="B41" s="5"/>
      <c r="C41" s="5"/>
      <c r="D41" s="5"/>
      <c r="E41" s="5"/>
      <c r="F41" s="5"/>
      <c r="G41" s="19"/>
      <c r="H41" s="18"/>
    </row>
    <row r="42" ht="15.75" customHeight="1">
      <c r="A42" s="5"/>
      <c r="B42" s="5"/>
      <c r="C42" s="5"/>
      <c r="D42" s="5"/>
      <c r="E42" s="5"/>
      <c r="F42" s="5"/>
      <c r="G42" s="5"/>
      <c r="H42" s="18"/>
    </row>
    <row r="43" ht="15.75" customHeight="1">
      <c r="A43" s="5"/>
      <c r="B43" s="5"/>
      <c r="C43" s="5"/>
      <c r="D43" s="5"/>
      <c r="E43" s="5"/>
      <c r="F43" s="5"/>
      <c r="G43" s="5"/>
      <c r="H43" s="18"/>
    </row>
    <row r="44" ht="15.75" customHeight="1">
      <c r="A44" s="5"/>
      <c r="B44" s="5"/>
      <c r="C44" s="5"/>
      <c r="D44" s="5"/>
      <c r="E44" s="5"/>
      <c r="F44" s="5"/>
      <c r="G44" s="5"/>
      <c r="H44" s="18"/>
    </row>
    <row r="45" ht="15.75" customHeight="1">
      <c r="A45" s="5"/>
      <c r="B45" s="5"/>
      <c r="C45" s="5"/>
      <c r="D45" s="5"/>
      <c r="E45" s="5"/>
      <c r="F45" s="5"/>
      <c r="G45" s="5"/>
      <c r="H45" s="18"/>
    </row>
    <row r="46" ht="15.75" customHeight="1">
      <c r="A46" s="5"/>
      <c r="B46" s="5"/>
      <c r="C46" s="5"/>
      <c r="D46" s="5"/>
      <c r="E46" s="5"/>
      <c r="F46" s="5"/>
      <c r="G46" s="5"/>
      <c r="H46" s="18"/>
    </row>
    <row r="47" ht="15.75" customHeight="1">
      <c r="A47" s="5"/>
      <c r="B47" s="5"/>
      <c r="C47" s="5"/>
      <c r="D47" s="5"/>
      <c r="E47" s="5"/>
      <c r="F47" s="5"/>
      <c r="G47" s="19"/>
      <c r="H47" s="18"/>
    </row>
    <row r="48" ht="15.75" customHeight="1">
      <c r="A48" s="5"/>
      <c r="B48" s="5"/>
      <c r="C48" s="5"/>
      <c r="D48" s="5"/>
      <c r="E48" s="5"/>
      <c r="F48" s="5"/>
      <c r="G48" s="19"/>
      <c r="H48" s="18"/>
    </row>
    <row r="49" ht="15.75" customHeight="1">
      <c r="A49" s="5"/>
      <c r="B49" s="5"/>
      <c r="C49" s="5"/>
      <c r="D49" s="5"/>
      <c r="E49" s="5"/>
      <c r="F49" s="5"/>
      <c r="G49" s="5"/>
      <c r="H49" s="18"/>
    </row>
    <row r="50" ht="15.75" customHeight="1">
      <c r="A50" s="5"/>
      <c r="B50" s="5"/>
      <c r="C50" s="5"/>
      <c r="D50" s="5"/>
      <c r="E50" s="5"/>
      <c r="F50" s="5"/>
      <c r="G50" s="5"/>
      <c r="H50" s="1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B1:H1"/>
    <mergeCell ref="A34:A3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0.1" defaultRowHeight="15.0"/>
  <cols>
    <col customWidth="1" min="1" max="1" width="16.9"/>
    <col customWidth="1" min="2" max="2" width="37.5"/>
    <col customWidth="1" min="3" max="3" width="37.4"/>
    <col customWidth="1" min="4" max="4" width="14.3"/>
    <col customWidth="1" min="5" max="5" width="10.1"/>
    <col customWidth="1" min="6" max="6" width="32.7"/>
    <col customWidth="1" min="7" max="7" width="15.7"/>
  </cols>
  <sheetData>
    <row r="1">
      <c r="A1" s="21" t="s">
        <v>59</v>
      </c>
      <c r="D1" s="5"/>
    </row>
    <row r="2" ht="15.0" customHeight="1">
      <c r="A2" s="22"/>
      <c r="B2" s="22" t="s">
        <v>3</v>
      </c>
      <c r="C2" s="22" t="s">
        <v>60</v>
      </c>
      <c r="F2" s="5"/>
      <c r="G2" s="5"/>
      <c r="H2" s="5"/>
    </row>
    <row r="3" ht="18.75" customHeight="1">
      <c r="A3" s="5" t="s">
        <v>61</v>
      </c>
      <c r="B3" s="3" t="s">
        <v>62</v>
      </c>
      <c r="C3" s="19">
        <v>0.0</v>
      </c>
      <c r="F3" s="5"/>
      <c r="G3" s="5"/>
      <c r="H3" s="18"/>
    </row>
    <row r="4" ht="15.0" customHeight="1">
      <c r="A4" s="5"/>
      <c r="B4" s="23" t="s">
        <v>63</v>
      </c>
      <c r="C4" s="19">
        <v>0.0</v>
      </c>
      <c r="F4" s="5"/>
      <c r="G4" s="5"/>
      <c r="H4" s="18"/>
    </row>
    <row r="5" ht="15.0" customHeight="1">
      <c r="A5" s="5"/>
      <c r="B5" s="3" t="s">
        <v>64</v>
      </c>
      <c r="C5" s="19">
        <v>1000.0</v>
      </c>
      <c r="F5" s="5"/>
      <c r="G5" s="5"/>
      <c r="H5" s="18"/>
    </row>
    <row r="6" ht="15.0" customHeight="1">
      <c r="A6" s="5"/>
      <c r="B6" s="5" t="s">
        <v>65</v>
      </c>
      <c r="C6" s="19">
        <v>200.0</v>
      </c>
      <c r="F6" s="5"/>
      <c r="G6" s="5"/>
      <c r="H6" s="18"/>
    </row>
    <row r="7" ht="15.0" customHeight="1">
      <c r="A7" s="5"/>
      <c r="B7" s="3" t="s">
        <v>66</v>
      </c>
      <c r="C7" s="19">
        <v>250.0</v>
      </c>
      <c r="F7" s="5"/>
      <c r="G7" s="5"/>
      <c r="H7" s="18"/>
    </row>
    <row r="8" ht="15.0" customHeight="1">
      <c r="A8" s="5"/>
      <c r="B8" s="3" t="s">
        <v>67</v>
      </c>
      <c r="C8" s="19">
        <v>500.0</v>
      </c>
      <c r="F8" s="5"/>
      <c r="G8" s="5"/>
      <c r="H8" s="18"/>
    </row>
    <row r="9" ht="15.0" customHeight="1">
      <c r="A9" s="5"/>
      <c r="B9" s="3" t="s">
        <v>68</v>
      </c>
      <c r="C9" s="19">
        <v>1000.0</v>
      </c>
      <c r="F9" s="5"/>
      <c r="G9" s="5"/>
      <c r="H9" s="18"/>
    </row>
    <row r="10" ht="15.0" customHeight="1">
      <c r="A10" s="5"/>
      <c r="B10" s="3" t="s">
        <v>69</v>
      </c>
      <c r="C10" s="19">
        <v>1000.0</v>
      </c>
      <c r="F10" s="5"/>
      <c r="G10" s="5"/>
      <c r="H10" s="18"/>
    </row>
    <row r="11" ht="15.0" customHeight="1">
      <c r="A11" s="5" t="s">
        <v>70</v>
      </c>
      <c r="B11" s="5"/>
      <c r="C11" s="19"/>
      <c r="F11" s="5"/>
      <c r="G11" s="5"/>
      <c r="H11" s="18"/>
    </row>
    <row r="12" ht="15.0" customHeight="1">
      <c r="A12" s="5"/>
      <c r="B12" s="3" t="s">
        <v>71</v>
      </c>
      <c r="C12" s="19">
        <v>5000.0</v>
      </c>
      <c r="F12" s="5"/>
      <c r="G12" s="5"/>
      <c r="H12" s="18"/>
    </row>
    <row r="13" ht="15.0" customHeight="1">
      <c r="A13" s="5"/>
      <c r="B13" s="3" t="s">
        <v>11</v>
      </c>
      <c r="C13" s="19">
        <v>24000.0</v>
      </c>
      <c r="F13" s="5"/>
      <c r="G13" s="5"/>
      <c r="H13" s="18"/>
    </row>
    <row r="14" ht="15.0" customHeight="1">
      <c r="A14" s="5"/>
      <c r="B14" s="3" t="s">
        <v>15</v>
      </c>
      <c r="C14" s="19">
        <v>30000.0</v>
      </c>
      <c r="F14" s="5"/>
      <c r="G14" s="5"/>
      <c r="H14" s="18"/>
    </row>
    <row r="15" ht="15.0" customHeight="1">
      <c r="A15" s="5"/>
      <c r="B15" s="3" t="s">
        <v>27</v>
      </c>
      <c r="C15" s="19">
        <v>24000.0</v>
      </c>
      <c r="F15" s="5"/>
      <c r="G15" s="5"/>
      <c r="H15" s="18"/>
    </row>
    <row r="16" ht="15.0" customHeight="1">
      <c r="A16" s="5"/>
      <c r="B16" s="3" t="s">
        <v>29</v>
      </c>
      <c r="C16" s="19">
        <v>24000.0</v>
      </c>
      <c r="F16" s="5"/>
      <c r="G16" s="5"/>
      <c r="H16" s="18"/>
    </row>
    <row r="17" ht="15.0" customHeight="1">
      <c r="A17" s="5"/>
      <c r="B17" s="3" t="s">
        <v>72</v>
      </c>
      <c r="C17" s="19">
        <v>30000.0</v>
      </c>
      <c r="F17" s="5"/>
      <c r="G17" s="5"/>
      <c r="H17" s="18"/>
    </row>
    <row r="18" ht="15.0" customHeight="1">
      <c r="A18" s="5"/>
      <c r="B18" s="5"/>
      <c r="C18" s="19"/>
    </row>
    <row r="19" ht="15.0" customHeight="1">
      <c r="A19" s="5"/>
      <c r="B19" s="5"/>
      <c r="C19" s="19"/>
    </row>
    <row r="20" ht="15.0" customHeight="1">
      <c r="B20" s="23" t="s">
        <v>73</v>
      </c>
      <c r="C20" s="6">
        <f>SUM(C3:C19)</f>
        <v>140950</v>
      </c>
    </row>
    <row r="21" ht="15.75" customHeight="1"/>
    <row r="22" ht="15.75" customHeight="1">
      <c r="C22" s="19">
        <f>SUM(C3:C10)</f>
        <v>3950</v>
      </c>
      <c r="D22" s="19">
        <f>SUM(C11:C19)</f>
        <v>137000</v>
      </c>
    </row>
    <row r="23" ht="15.75" customHeight="1"/>
    <row r="24" ht="15.75" customHeight="1">
      <c r="B24" s="24" t="s">
        <v>74</v>
      </c>
      <c r="C24" s="25">
        <v>102000.0</v>
      </c>
    </row>
    <row r="25" ht="15.75" customHeight="1">
      <c r="B25" s="24" t="s">
        <v>72</v>
      </c>
      <c r="C25" s="25">
        <v>30000.0</v>
      </c>
    </row>
    <row r="26" ht="15.75" customHeight="1">
      <c r="B26" s="24" t="s">
        <v>21</v>
      </c>
      <c r="C26" s="25">
        <v>5000.0</v>
      </c>
    </row>
    <row r="27" ht="15.75" customHeight="1">
      <c r="B27" s="24" t="s">
        <v>61</v>
      </c>
      <c r="C27" s="25">
        <v>3950.0</v>
      </c>
    </row>
    <row r="28" ht="15.75" customHeight="1"/>
    <row r="29" ht="15.75" customHeight="1"/>
    <row r="30" ht="15.75" customHeight="1">
      <c r="C30" s="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2" max="2" width="16.3"/>
    <col customWidth="1" min="3" max="3" width="15.5"/>
    <col customWidth="1" min="4" max="4" width="19.1"/>
    <col customWidth="1" min="5" max="5" width="19.5"/>
    <col customWidth="1" min="6" max="6" width="16.7"/>
    <col customWidth="1" min="7" max="7" width="13.5"/>
    <col customWidth="1" min="8" max="8" width="11.0"/>
    <col customWidth="1" min="9" max="9" width="13.3"/>
  </cols>
  <sheetData>
    <row r="1">
      <c r="A1" s="26" t="s">
        <v>75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76</v>
      </c>
      <c r="B2" s="28" t="s">
        <v>77</v>
      </c>
      <c r="C2" s="28" t="s">
        <v>78</v>
      </c>
      <c r="D2" s="28" t="s">
        <v>79</v>
      </c>
      <c r="E2" s="28" t="s">
        <v>80</v>
      </c>
      <c r="F2" s="28" t="s">
        <v>81</v>
      </c>
      <c r="G2" s="28" t="s">
        <v>82</v>
      </c>
      <c r="H2" s="27"/>
      <c r="I2" s="29" t="str">
        <f t="shared" ref="I2:I12" si="1">A2</f>
        <v>Year</v>
      </c>
      <c r="J2" s="29" t="str">
        <f t="shared" ref="J2:J12" si="2">G2</f>
        <v>Revenue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4">
        <v>2024.0</v>
      </c>
      <c r="B3" s="6">
        <v>10000.0</v>
      </c>
      <c r="C3" s="6">
        <v>0.0</v>
      </c>
      <c r="D3" s="30">
        <v>0.1</v>
      </c>
      <c r="E3" s="31">
        <v>174.48</v>
      </c>
      <c r="F3" s="6">
        <f t="shared" ref="F3:F12" si="3">(B3*D3)</f>
        <v>1000</v>
      </c>
      <c r="G3" s="32">
        <f>(E3*F3)</f>
        <v>174480</v>
      </c>
      <c r="H3" s="27"/>
      <c r="I3" s="27">
        <f t="shared" si="1"/>
        <v>2024</v>
      </c>
      <c r="J3" s="33">
        <f t="shared" si="2"/>
        <v>174480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4">
        <v>2025.0</v>
      </c>
      <c r="B4" s="6">
        <v>13000.0</v>
      </c>
      <c r="C4" s="30">
        <v>0.3</v>
      </c>
      <c r="D4" s="30">
        <v>0.15</v>
      </c>
      <c r="E4" s="31">
        <v>174.48</v>
      </c>
      <c r="F4" s="6">
        <f t="shared" si="3"/>
        <v>1950</v>
      </c>
      <c r="G4" s="32">
        <f t="shared" ref="G4:G12" si="4">(F4*E4)</f>
        <v>340236</v>
      </c>
      <c r="H4" s="27"/>
      <c r="I4" s="27">
        <f t="shared" si="1"/>
        <v>2025</v>
      </c>
      <c r="J4" s="33">
        <f t="shared" si="2"/>
        <v>340236</v>
      </c>
      <c r="K4" s="27"/>
      <c r="L4" s="34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4">
        <v>2026.0</v>
      </c>
      <c r="B5" s="6">
        <v>15600.0</v>
      </c>
      <c r="C5" s="30">
        <v>0.2</v>
      </c>
      <c r="D5" s="30">
        <v>0.2</v>
      </c>
      <c r="E5" s="31">
        <v>191.928</v>
      </c>
      <c r="F5" s="6">
        <f t="shared" si="3"/>
        <v>3120</v>
      </c>
      <c r="G5" s="32">
        <f t="shared" si="4"/>
        <v>598815.36</v>
      </c>
      <c r="H5" s="27"/>
      <c r="I5" s="27">
        <f t="shared" si="1"/>
        <v>2026</v>
      </c>
      <c r="J5" s="33">
        <f t="shared" si="2"/>
        <v>598815.36</v>
      </c>
      <c r="K5" s="27"/>
      <c r="L5" s="34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4">
        <v>2027.0</v>
      </c>
      <c r="B6" s="6">
        <v>17940.0</v>
      </c>
      <c r="C6" s="30">
        <v>0.15</v>
      </c>
      <c r="D6" s="30">
        <v>0.2</v>
      </c>
      <c r="E6" s="31">
        <v>191.928</v>
      </c>
      <c r="F6" s="6">
        <f t="shared" si="3"/>
        <v>3588</v>
      </c>
      <c r="G6" s="32">
        <f t="shared" si="4"/>
        <v>688637.664</v>
      </c>
      <c r="H6" s="27"/>
      <c r="I6" s="27">
        <f t="shared" si="1"/>
        <v>2027</v>
      </c>
      <c r="J6" s="33">
        <f t="shared" si="2"/>
        <v>688637.664</v>
      </c>
      <c r="K6" s="27"/>
      <c r="L6" s="34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4">
        <v>2028.0</v>
      </c>
      <c r="B7" s="6">
        <v>19734.0</v>
      </c>
      <c r="C7" s="30">
        <v>0.1</v>
      </c>
      <c r="D7" s="30">
        <v>0.3</v>
      </c>
      <c r="E7" s="31">
        <v>211.123</v>
      </c>
      <c r="F7" s="6">
        <f t="shared" si="3"/>
        <v>5920.2</v>
      </c>
      <c r="G7" s="32">
        <f t="shared" si="4"/>
        <v>1249890.385</v>
      </c>
      <c r="H7" s="27"/>
      <c r="I7" s="27">
        <f t="shared" si="1"/>
        <v>2028</v>
      </c>
      <c r="J7" s="33">
        <f t="shared" si="2"/>
        <v>1249890.385</v>
      </c>
      <c r="K7" s="27"/>
      <c r="L7" s="34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4">
        <v>2029.0</v>
      </c>
      <c r="B8" s="6">
        <v>22577.2</v>
      </c>
      <c r="C8" s="30">
        <v>0.1</v>
      </c>
      <c r="D8" s="30">
        <v>0.3</v>
      </c>
      <c r="E8" s="31">
        <v>211.123</v>
      </c>
      <c r="F8" s="6">
        <f t="shared" si="3"/>
        <v>6773.16</v>
      </c>
      <c r="G8" s="32">
        <f t="shared" si="4"/>
        <v>1429969.859</v>
      </c>
      <c r="H8" s="27"/>
      <c r="I8" s="27">
        <f t="shared" si="1"/>
        <v>2029</v>
      </c>
      <c r="J8" s="33">
        <f t="shared" si="2"/>
        <v>1429969.859</v>
      </c>
      <c r="K8" s="27"/>
      <c r="L8" s="34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4">
        <v>2030.0</v>
      </c>
      <c r="B9" s="6">
        <v>25018.0</v>
      </c>
      <c r="C9" s="30">
        <v>0.1</v>
      </c>
      <c r="D9" s="30">
        <v>0.3</v>
      </c>
      <c r="E9" s="31">
        <v>211.123</v>
      </c>
      <c r="F9" s="6">
        <f t="shared" si="3"/>
        <v>7505.4</v>
      </c>
      <c r="G9" s="32">
        <f t="shared" si="4"/>
        <v>1584562.564</v>
      </c>
      <c r="H9" s="27"/>
      <c r="I9" s="27">
        <f t="shared" si="1"/>
        <v>2030</v>
      </c>
      <c r="J9" s="33">
        <f t="shared" si="2"/>
        <v>1584562.564</v>
      </c>
      <c r="K9" s="27"/>
      <c r="L9" s="34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4">
        <v>2031.0</v>
      </c>
      <c r="B10" s="6">
        <v>27458.8</v>
      </c>
      <c r="C10" s="30">
        <v>0.1</v>
      </c>
      <c r="D10" s="30">
        <v>0.3</v>
      </c>
      <c r="E10" s="31">
        <v>211.123</v>
      </c>
      <c r="F10" s="6">
        <f t="shared" si="3"/>
        <v>8237.64</v>
      </c>
      <c r="G10" s="32">
        <f t="shared" si="4"/>
        <v>1739155.27</v>
      </c>
      <c r="H10" s="27"/>
      <c r="I10" s="27">
        <f t="shared" si="1"/>
        <v>2031</v>
      </c>
      <c r="J10" s="33">
        <f t="shared" si="2"/>
        <v>1739155.27</v>
      </c>
      <c r="K10" s="27"/>
      <c r="L10" s="34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4">
        <v>2032.0</v>
      </c>
      <c r="B11" s="6">
        <v>29899.6</v>
      </c>
      <c r="C11" s="30">
        <v>0.1</v>
      </c>
      <c r="D11" s="30">
        <v>0.3</v>
      </c>
      <c r="E11" s="31">
        <v>211.123</v>
      </c>
      <c r="F11" s="6">
        <f t="shared" si="3"/>
        <v>8969.88</v>
      </c>
      <c r="G11" s="32">
        <f t="shared" si="4"/>
        <v>1893747.975</v>
      </c>
      <c r="H11" s="27"/>
      <c r="I11" s="27">
        <f t="shared" si="1"/>
        <v>2032</v>
      </c>
      <c r="J11" s="33">
        <f t="shared" si="2"/>
        <v>1893747.975</v>
      </c>
      <c r="K11" s="27"/>
      <c r="L11" s="34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4">
        <v>2033.0</v>
      </c>
      <c r="B12" s="6">
        <v>32340.4</v>
      </c>
      <c r="C12" s="30">
        <v>0.1</v>
      </c>
      <c r="D12" s="30">
        <v>0.3</v>
      </c>
      <c r="E12" s="31">
        <v>211.123</v>
      </c>
      <c r="F12" s="6">
        <f t="shared" si="3"/>
        <v>9702.12</v>
      </c>
      <c r="G12" s="32">
        <f t="shared" si="4"/>
        <v>2048340.681</v>
      </c>
      <c r="H12" s="27"/>
      <c r="I12" s="27">
        <f t="shared" si="1"/>
        <v>2033</v>
      </c>
      <c r="J12" s="33">
        <f t="shared" si="2"/>
        <v>2048340.681</v>
      </c>
      <c r="K12" s="27"/>
      <c r="L12" s="34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27"/>
      <c r="C13" s="27"/>
      <c r="D13" s="27"/>
      <c r="E13" s="27"/>
      <c r="F13" s="27"/>
      <c r="G13" s="33">
        <f>SUM(G3:G12)</f>
        <v>11747835.76</v>
      </c>
      <c r="H13" s="27"/>
      <c r="I13" s="27"/>
      <c r="J13" s="27"/>
      <c r="K13" s="27"/>
      <c r="L13" s="34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6" t="s">
        <v>83</v>
      </c>
      <c r="E14" s="27"/>
      <c r="F14" s="27"/>
      <c r="G14" s="34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84</v>
      </c>
      <c r="B15" s="28" t="s">
        <v>85</v>
      </c>
      <c r="C15" s="28" t="s">
        <v>86</v>
      </c>
      <c r="D15" s="28" t="s">
        <v>87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4" t="s">
        <v>88</v>
      </c>
      <c r="B16" s="3">
        <v>84.0</v>
      </c>
      <c r="C16" s="32">
        <f t="shared" ref="C16:C27" si="5">B16*174.48</f>
        <v>14656.32</v>
      </c>
      <c r="D16" s="32">
        <v>14656.32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4" t="s">
        <v>89</v>
      </c>
      <c r="B17" s="3">
        <v>76.0</v>
      </c>
      <c r="C17" s="32">
        <f t="shared" si="5"/>
        <v>13260.48</v>
      </c>
      <c r="D17" s="32">
        <f t="shared" ref="D17:D27" si="6">(D16+C17)</f>
        <v>27916.8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4" t="s">
        <v>90</v>
      </c>
      <c r="B18" s="3">
        <v>90.0</v>
      </c>
      <c r="C18" s="32">
        <f t="shared" si="5"/>
        <v>15703.2</v>
      </c>
      <c r="D18" s="32">
        <f t="shared" si="6"/>
        <v>43620</v>
      </c>
      <c r="E18" s="35" t="s">
        <v>91</v>
      </c>
      <c r="F18" s="27">
        <f>SUM(B16:B18)</f>
        <v>250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4" t="s">
        <v>92</v>
      </c>
      <c r="B19" s="3">
        <v>96.0</v>
      </c>
      <c r="C19" s="32">
        <f t="shared" si="5"/>
        <v>16750.08</v>
      </c>
      <c r="D19" s="32">
        <f t="shared" si="6"/>
        <v>60370.08</v>
      </c>
      <c r="E19" s="35" t="s">
        <v>93</v>
      </c>
      <c r="F19" s="27">
        <f>SUM(B19:B21)</f>
        <v>246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4" t="s">
        <v>94</v>
      </c>
      <c r="B20" s="3">
        <v>80.0</v>
      </c>
      <c r="C20" s="32">
        <f t="shared" si="5"/>
        <v>13958.4</v>
      </c>
      <c r="D20" s="32">
        <f t="shared" si="6"/>
        <v>74328.48</v>
      </c>
      <c r="E20" s="35" t="s">
        <v>95</v>
      </c>
      <c r="F20" s="27">
        <f>SUM(B22:B24)</f>
        <v>262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4" t="s">
        <v>96</v>
      </c>
      <c r="B21" s="3">
        <v>70.0</v>
      </c>
      <c r="C21" s="32">
        <f t="shared" si="5"/>
        <v>12213.6</v>
      </c>
      <c r="D21" s="32">
        <f t="shared" si="6"/>
        <v>86542.08</v>
      </c>
      <c r="E21" s="35" t="s">
        <v>97</v>
      </c>
      <c r="F21" s="27">
        <f>SUM(B25:B27)</f>
        <v>242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4" t="s">
        <v>98</v>
      </c>
      <c r="B22" s="3">
        <v>86.0</v>
      </c>
      <c r="C22" s="32">
        <f t="shared" si="5"/>
        <v>15005.28</v>
      </c>
      <c r="D22" s="32">
        <f t="shared" si="6"/>
        <v>101547.36</v>
      </c>
      <c r="E22" s="35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4" t="s">
        <v>99</v>
      </c>
      <c r="B23" s="3">
        <v>96.0</v>
      </c>
      <c r="C23" s="32">
        <f t="shared" si="5"/>
        <v>16750.08</v>
      </c>
      <c r="D23" s="32">
        <f t="shared" si="6"/>
        <v>118297.44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4" t="s">
        <v>100</v>
      </c>
      <c r="B24" s="3">
        <v>80.0</v>
      </c>
      <c r="C24" s="32">
        <f t="shared" si="5"/>
        <v>13958.4</v>
      </c>
      <c r="D24" s="32">
        <f t="shared" si="6"/>
        <v>132255.84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4" t="s">
        <v>101</v>
      </c>
      <c r="B25" s="3">
        <v>76.0</v>
      </c>
      <c r="C25" s="32">
        <f t="shared" si="5"/>
        <v>13260.48</v>
      </c>
      <c r="D25" s="32">
        <f t="shared" si="6"/>
        <v>145516.32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4" t="s">
        <v>102</v>
      </c>
      <c r="B26" s="3">
        <v>86.0</v>
      </c>
      <c r="C26" s="32">
        <f t="shared" si="5"/>
        <v>15005.28</v>
      </c>
      <c r="D26" s="32">
        <f t="shared" si="6"/>
        <v>160521.6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4" t="s">
        <v>103</v>
      </c>
      <c r="B27" s="3">
        <v>80.0</v>
      </c>
      <c r="C27" s="32">
        <f t="shared" si="5"/>
        <v>13958.4</v>
      </c>
      <c r="D27" s="32">
        <f t="shared" si="6"/>
        <v>174480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36" t="s">
        <v>104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37" t="s">
        <v>105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37" t="s">
        <v>106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38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37" t="s">
        <v>107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38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37" t="s">
        <v>108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37" t="s">
        <v>109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37" t="s">
        <v>110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7" t="s">
        <v>111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8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7" t="s">
        <v>112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38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7" t="s">
        <v>113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37" t="s">
        <v>114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37" t="s">
        <v>115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39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40" t="s">
        <v>116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3" t="s">
        <v>117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3" t="s">
        <v>118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3" t="s">
        <v>119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" t="s">
        <v>120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</sheetData>
  <mergeCells count="2">
    <mergeCell ref="A1:G1"/>
    <mergeCell ref="A14:D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25.6"/>
    <col customWidth="1" min="2" max="2" width="9.2"/>
    <col customWidth="1" min="3" max="11" width="4.8"/>
    <col customWidth="1" min="12" max="12" width="4.9"/>
  </cols>
  <sheetData>
    <row r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>
      <c r="A2" s="41"/>
      <c r="B2" s="42" t="s">
        <v>84</v>
      </c>
      <c r="C2" s="43">
        <v>2024.0</v>
      </c>
      <c r="D2" s="43">
        <v>2025.0</v>
      </c>
      <c r="E2" s="43">
        <v>2026.0</v>
      </c>
      <c r="F2" s="43">
        <v>2027.0</v>
      </c>
      <c r="G2" s="43">
        <v>2028.0</v>
      </c>
      <c r="H2" s="43">
        <v>2029.0</v>
      </c>
      <c r="I2" s="43">
        <v>2030.0</v>
      </c>
      <c r="J2" s="43">
        <v>2031.0</v>
      </c>
      <c r="K2" s="43">
        <v>2032.0</v>
      </c>
      <c r="L2" s="44">
        <v>2033.0</v>
      </c>
    </row>
    <row r="3">
      <c r="A3" s="41"/>
      <c r="B3" s="45" t="s">
        <v>88</v>
      </c>
      <c r="C3" s="46">
        <f>'Sales Forecast'!B16</f>
        <v>84</v>
      </c>
      <c r="D3" s="47">
        <f t="shared" ref="D3:D14" si="2">C3*$C$16</f>
        <v>163.8</v>
      </c>
      <c r="E3" s="47">
        <f t="shared" ref="E3:L3" si="1">D3*D$16</f>
        <v>262.08</v>
      </c>
      <c r="F3" s="47">
        <f t="shared" si="1"/>
        <v>301.392</v>
      </c>
      <c r="G3" s="47">
        <f t="shared" si="1"/>
        <v>497.2968</v>
      </c>
      <c r="H3" s="47">
        <f t="shared" si="1"/>
        <v>568.94544</v>
      </c>
      <c r="I3" s="47">
        <f t="shared" si="1"/>
        <v>630.4536</v>
      </c>
      <c r="J3" s="47">
        <f t="shared" si="1"/>
        <v>691.96176</v>
      </c>
      <c r="K3" s="47">
        <f t="shared" si="1"/>
        <v>753.46992</v>
      </c>
      <c r="L3" s="48">
        <f t="shared" si="1"/>
        <v>814.97808</v>
      </c>
    </row>
    <row r="4">
      <c r="A4" s="41"/>
      <c r="B4" s="45" t="s">
        <v>89</v>
      </c>
      <c r="C4" s="46">
        <f>'Sales Forecast'!B17</f>
        <v>76</v>
      </c>
      <c r="D4" s="47">
        <f t="shared" si="2"/>
        <v>148.2</v>
      </c>
      <c r="E4" s="47">
        <f t="shared" ref="E4:E14" si="4">D4*$D$16</f>
        <v>237.12</v>
      </c>
      <c r="F4" s="47">
        <f t="shared" ref="F4:L4" si="3">E4*E$16</f>
        <v>272.688</v>
      </c>
      <c r="G4" s="47">
        <f t="shared" si="3"/>
        <v>449.9352</v>
      </c>
      <c r="H4" s="47">
        <f t="shared" si="3"/>
        <v>514.76016</v>
      </c>
      <c r="I4" s="47">
        <f t="shared" si="3"/>
        <v>570.4104</v>
      </c>
      <c r="J4" s="47">
        <f t="shared" si="3"/>
        <v>626.06064</v>
      </c>
      <c r="K4" s="47">
        <f t="shared" si="3"/>
        <v>681.71088</v>
      </c>
      <c r="L4" s="48">
        <f t="shared" si="3"/>
        <v>737.36112</v>
      </c>
    </row>
    <row r="5">
      <c r="A5" s="41"/>
      <c r="B5" s="45" t="s">
        <v>90</v>
      </c>
      <c r="C5" s="46">
        <f>'Sales Forecast'!B18</f>
        <v>90</v>
      </c>
      <c r="D5" s="47">
        <f t="shared" si="2"/>
        <v>175.5</v>
      </c>
      <c r="E5" s="47">
        <f t="shared" si="4"/>
        <v>280.8</v>
      </c>
      <c r="F5" s="47">
        <f t="shared" ref="F5:L5" si="5">E5*E$16</f>
        <v>322.92</v>
      </c>
      <c r="G5" s="47">
        <f t="shared" si="5"/>
        <v>532.818</v>
      </c>
      <c r="H5" s="47">
        <f t="shared" si="5"/>
        <v>609.5844</v>
      </c>
      <c r="I5" s="47">
        <f t="shared" si="5"/>
        <v>675.486</v>
      </c>
      <c r="J5" s="47">
        <f t="shared" si="5"/>
        <v>741.3876</v>
      </c>
      <c r="K5" s="47">
        <f t="shared" si="5"/>
        <v>807.2892</v>
      </c>
      <c r="L5" s="48">
        <f t="shared" si="5"/>
        <v>873.1908</v>
      </c>
    </row>
    <row r="6">
      <c r="A6" s="41"/>
      <c r="B6" s="45" t="s">
        <v>92</v>
      </c>
      <c r="C6" s="46">
        <f>'Sales Forecast'!B19</f>
        <v>96</v>
      </c>
      <c r="D6" s="47">
        <f t="shared" si="2"/>
        <v>187.2</v>
      </c>
      <c r="E6" s="47">
        <f t="shared" si="4"/>
        <v>299.52</v>
      </c>
      <c r="F6" s="47">
        <f t="shared" ref="F6:L6" si="6">E6*E$16</f>
        <v>344.448</v>
      </c>
      <c r="G6" s="47">
        <f t="shared" si="6"/>
        <v>568.3392</v>
      </c>
      <c r="H6" s="47">
        <f t="shared" si="6"/>
        <v>650.22336</v>
      </c>
      <c r="I6" s="47">
        <f t="shared" si="6"/>
        <v>720.5184</v>
      </c>
      <c r="J6" s="47">
        <f t="shared" si="6"/>
        <v>790.81344</v>
      </c>
      <c r="K6" s="47">
        <f t="shared" si="6"/>
        <v>861.10848</v>
      </c>
      <c r="L6" s="48">
        <f t="shared" si="6"/>
        <v>931.40352</v>
      </c>
    </row>
    <row r="7">
      <c r="A7" s="41"/>
      <c r="B7" s="45" t="s">
        <v>94</v>
      </c>
      <c r="C7" s="46">
        <f>'Sales Forecast'!B20</f>
        <v>80</v>
      </c>
      <c r="D7" s="47">
        <f t="shared" si="2"/>
        <v>156</v>
      </c>
      <c r="E7" s="47">
        <f t="shared" si="4"/>
        <v>249.6</v>
      </c>
      <c r="F7" s="47">
        <f t="shared" ref="F7:L7" si="7">E7*E$16</f>
        <v>287.04</v>
      </c>
      <c r="G7" s="47">
        <f t="shared" si="7"/>
        <v>473.616</v>
      </c>
      <c r="H7" s="47">
        <f t="shared" si="7"/>
        <v>541.8528</v>
      </c>
      <c r="I7" s="47">
        <f t="shared" si="7"/>
        <v>600.432</v>
      </c>
      <c r="J7" s="47">
        <f t="shared" si="7"/>
        <v>659.0112</v>
      </c>
      <c r="K7" s="47">
        <f t="shared" si="7"/>
        <v>717.5904</v>
      </c>
      <c r="L7" s="48">
        <f t="shared" si="7"/>
        <v>776.1696</v>
      </c>
    </row>
    <row r="8">
      <c r="A8" s="41"/>
      <c r="B8" s="45" t="s">
        <v>96</v>
      </c>
      <c r="C8" s="46">
        <f>'Sales Forecast'!B21</f>
        <v>70</v>
      </c>
      <c r="D8" s="47">
        <f t="shared" si="2"/>
        <v>136.5</v>
      </c>
      <c r="E8" s="47">
        <f t="shared" si="4"/>
        <v>218.4</v>
      </c>
      <c r="F8" s="47">
        <f t="shared" ref="F8:L8" si="8">E8*E$16</f>
        <v>251.16</v>
      </c>
      <c r="G8" s="47">
        <f t="shared" si="8"/>
        <v>414.414</v>
      </c>
      <c r="H8" s="47">
        <f t="shared" si="8"/>
        <v>474.1212</v>
      </c>
      <c r="I8" s="47">
        <f t="shared" si="8"/>
        <v>525.378</v>
      </c>
      <c r="J8" s="47">
        <f t="shared" si="8"/>
        <v>576.6348</v>
      </c>
      <c r="K8" s="47">
        <f t="shared" si="8"/>
        <v>627.8916</v>
      </c>
      <c r="L8" s="48">
        <f t="shared" si="8"/>
        <v>679.1484</v>
      </c>
    </row>
    <row r="9">
      <c r="A9" s="41"/>
      <c r="B9" s="45" t="s">
        <v>98</v>
      </c>
      <c r="C9" s="46">
        <f>'Sales Forecast'!B22</f>
        <v>86</v>
      </c>
      <c r="D9" s="47">
        <f t="shared" si="2"/>
        <v>167.7</v>
      </c>
      <c r="E9" s="47">
        <f t="shared" si="4"/>
        <v>268.32</v>
      </c>
      <c r="F9" s="47">
        <f t="shared" ref="F9:L9" si="9">E9*E$16</f>
        <v>308.568</v>
      </c>
      <c r="G9" s="47">
        <f t="shared" si="9"/>
        <v>509.1372</v>
      </c>
      <c r="H9" s="47">
        <f t="shared" si="9"/>
        <v>582.49176</v>
      </c>
      <c r="I9" s="47">
        <f t="shared" si="9"/>
        <v>645.4644</v>
      </c>
      <c r="J9" s="47">
        <f t="shared" si="9"/>
        <v>708.43704</v>
      </c>
      <c r="K9" s="47">
        <f t="shared" si="9"/>
        <v>771.40968</v>
      </c>
      <c r="L9" s="48">
        <f t="shared" si="9"/>
        <v>834.38232</v>
      </c>
    </row>
    <row r="10">
      <c r="A10" s="41"/>
      <c r="B10" s="45" t="s">
        <v>99</v>
      </c>
      <c r="C10" s="46">
        <f>'Sales Forecast'!B23</f>
        <v>96</v>
      </c>
      <c r="D10" s="47">
        <f t="shared" si="2"/>
        <v>187.2</v>
      </c>
      <c r="E10" s="47">
        <f t="shared" si="4"/>
        <v>299.52</v>
      </c>
      <c r="F10" s="47">
        <f t="shared" ref="F10:L10" si="10">E10*E$16</f>
        <v>344.448</v>
      </c>
      <c r="G10" s="47">
        <f t="shared" si="10"/>
        <v>568.3392</v>
      </c>
      <c r="H10" s="47">
        <f t="shared" si="10"/>
        <v>650.22336</v>
      </c>
      <c r="I10" s="47">
        <f t="shared" si="10"/>
        <v>720.5184</v>
      </c>
      <c r="J10" s="47">
        <f t="shared" si="10"/>
        <v>790.81344</v>
      </c>
      <c r="K10" s="47">
        <f t="shared" si="10"/>
        <v>861.10848</v>
      </c>
      <c r="L10" s="48">
        <f t="shared" si="10"/>
        <v>931.40352</v>
      </c>
    </row>
    <row r="11">
      <c r="A11" s="41"/>
      <c r="B11" s="45" t="s">
        <v>100</v>
      </c>
      <c r="C11" s="46">
        <f>'Sales Forecast'!B24</f>
        <v>80</v>
      </c>
      <c r="D11" s="47">
        <f t="shared" si="2"/>
        <v>156</v>
      </c>
      <c r="E11" s="47">
        <f t="shared" si="4"/>
        <v>249.6</v>
      </c>
      <c r="F11" s="47">
        <f t="shared" ref="F11:L11" si="11">E11*E$16</f>
        <v>287.04</v>
      </c>
      <c r="G11" s="47">
        <f t="shared" si="11"/>
        <v>473.616</v>
      </c>
      <c r="H11" s="47">
        <f t="shared" si="11"/>
        <v>541.8528</v>
      </c>
      <c r="I11" s="47">
        <f t="shared" si="11"/>
        <v>600.432</v>
      </c>
      <c r="J11" s="47">
        <f t="shared" si="11"/>
        <v>659.0112</v>
      </c>
      <c r="K11" s="47">
        <f t="shared" si="11"/>
        <v>717.5904</v>
      </c>
      <c r="L11" s="48">
        <f t="shared" si="11"/>
        <v>776.1696</v>
      </c>
    </row>
    <row r="12">
      <c r="A12" s="41"/>
      <c r="B12" s="45" t="s">
        <v>101</v>
      </c>
      <c r="C12" s="46">
        <f>'Sales Forecast'!B25</f>
        <v>76</v>
      </c>
      <c r="D12" s="47">
        <f t="shared" si="2"/>
        <v>148.2</v>
      </c>
      <c r="E12" s="47">
        <f t="shared" si="4"/>
        <v>237.12</v>
      </c>
      <c r="F12" s="47">
        <f t="shared" ref="F12:L12" si="12">E12*E$16</f>
        <v>272.688</v>
      </c>
      <c r="G12" s="47">
        <f t="shared" si="12"/>
        <v>449.9352</v>
      </c>
      <c r="H12" s="47">
        <f t="shared" si="12"/>
        <v>514.76016</v>
      </c>
      <c r="I12" s="47">
        <f t="shared" si="12"/>
        <v>570.4104</v>
      </c>
      <c r="J12" s="47">
        <f t="shared" si="12"/>
        <v>626.06064</v>
      </c>
      <c r="K12" s="47">
        <f t="shared" si="12"/>
        <v>681.71088</v>
      </c>
      <c r="L12" s="48">
        <f t="shared" si="12"/>
        <v>737.36112</v>
      </c>
    </row>
    <row r="13">
      <c r="A13" s="41"/>
      <c r="B13" s="45" t="s">
        <v>102</v>
      </c>
      <c r="C13" s="46">
        <f>'Sales Forecast'!B26</f>
        <v>86</v>
      </c>
      <c r="D13" s="47">
        <f t="shared" si="2"/>
        <v>167.7</v>
      </c>
      <c r="E13" s="47">
        <f t="shared" si="4"/>
        <v>268.32</v>
      </c>
      <c r="F13" s="47">
        <f t="shared" ref="F13:L13" si="13">E13*E$16</f>
        <v>308.568</v>
      </c>
      <c r="G13" s="47">
        <f t="shared" si="13"/>
        <v>509.1372</v>
      </c>
      <c r="H13" s="47">
        <f t="shared" si="13"/>
        <v>582.49176</v>
      </c>
      <c r="I13" s="47">
        <f t="shared" si="13"/>
        <v>645.4644</v>
      </c>
      <c r="J13" s="47">
        <f t="shared" si="13"/>
        <v>708.43704</v>
      </c>
      <c r="K13" s="47">
        <f t="shared" si="13"/>
        <v>771.40968</v>
      </c>
      <c r="L13" s="48">
        <f t="shared" si="13"/>
        <v>834.38232</v>
      </c>
    </row>
    <row r="14">
      <c r="A14" s="41"/>
      <c r="B14" s="45" t="s">
        <v>103</v>
      </c>
      <c r="C14" s="46">
        <f>'Sales Forecast'!B27</f>
        <v>80</v>
      </c>
      <c r="D14" s="47">
        <f t="shared" si="2"/>
        <v>156</v>
      </c>
      <c r="E14" s="47">
        <f t="shared" si="4"/>
        <v>249.6</v>
      </c>
      <c r="F14" s="47">
        <f t="shared" ref="F14:L14" si="14">E14*E$16</f>
        <v>287.04</v>
      </c>
      <c r="G14" s="47">
        <f t="shared" si="14"/>
        <v>473.616</v>
      </c>
      <c r="H14" s="47">
        <f t="shared" si="14"/>
        <v>541.8528</v>
      </c>
      <c r="I14" s="47">
        <f t="shared" si="14"/>
        <v>600.432</v>
      </c>
      <c r="J14" s="47">
        <f t="shared" si="14"/>
        <v>659.0112</v>
      </c>
      <c r="K14" s="47">
        <f t="shared" si="14"/>
        <v>717.5904</v>
      </c>
      <c r="L14" s="48">
        <f t="shared" si="14"/>
        <v>776.1696</v>
      </c>
    </row>
    <row r="15">
      <c r="A15" s="41"/>
      <c r="B15" s="49" t="s">
        <v>121</v>
      </c>
      <c r="C15" s="50">
        <v>1000.0</v>
      </c>
      <c r="D15" s="50">
        <v>1950.0</v>
      </c>
      <c r="E15" s="50">
        <v>3120.0</v>
      </c>
      <c r="F15" s="50">
        <v>3588.0</v>
      </c>
      <c r="G15" s="50">
        <v>5920.2</v>
      </c>
      <c r="H15" s="50">
        <v>6773.16</v>
      </c>
      <c r="I15" s="50">
        <v>7505.4</v>
      </c>
      <c r="J15" s="50">
        <v>8237.64</v>
      </c>
      <c r="K15" s="50">
        <v>8969.88</v>
      </c>
      <c r="L15" s="51">
        <v>9702.12</v>
      </c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>
      <c r="A16" s="23"/>
      <c r="B16" s="53" t="s">
        <v>122</v>
      </c>
      <c r="C16" s="54">
        <f t="shared" ref="C16:K16" si="15">D15/C15</f>
        <v>1.95</v>
      </c>
      <c r="D16" s="54">
        <f t="shared" si="15"/>
        <v>1.6</v>
      </c>
      <c r="E16" s="54">
        <f t="shared" si="15"/>
        <v>1.15</v>
      </c>
      <c r="F16" s="54">
        <f t="shared" si="15"/>
        <v>1.65</v>
      </c>
      <c r="G16" s="54">
        <f t="shared" si="15"/>
        <v>1.144076214</v>
      </c>
      <c r="H16" s="54">
        <f t="shared" si="15"/>
        <v>1.108109066</v>
      </c>
      <c r="I16" s="54">
        <f t="shared" si="15"/>
        <v>1.097561756</v>
      </c>
      <c r="J16" s="54">
        <f t="shared" si="15"/>
        <v>1.088889536</v>
      </c>
      <c r="K16" s="54">
        <f t="shared" si="15"/>
        <v>1.081633199</v>
      </c>
      <c r="L16" s="55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2" max="3" width="16.2"/>
    <col hidden="1" min="4" max="4" width="10.1"/>
    <col hidden="1" min="6" max="6" width="10.1"/>
  </cols>
  <sheetData>
    <row r="2">
      <c r="A2" s="56" t="s">
        <v>123</v>
      </c>
      <c r="B2" s="56" t="s">
        <v>124</v>
      </c>
      <c r="C2" s="56" t="s">
        <v>125</v>
      </c>
      <c r="D2" s="56" t="s">
        <v>126</v>
      </c>
      <c r="E2" s="56" t="s">
        <v>127</v>
      </c>
      <c r="F2" s="56" t="s">
        <v>60</v>
      </c>
      <c r="G2" s="56" t="s">
        <v>128</v>
      </c>
    </row>
    <row r="3">
      <c r="A3" s="57">
        <v>1.0</v>
      </c>
      <c r="B3" s="58" t="s">
        <v>129</v>
      </c>
      <c r="C3" s="59" t="s">
        <v>130</v>
      </c>
      <c r="D3" s="60">
        <v>11.5</v>
      </c>
      <c r="E3" s="58">
        <v>1.0</v>
      </c>
      <c r="F3" s="61">
        <f t="shared" ref="F3:F17" si="1">D3*E3</f>
        <v>11.5</v>
      </c>
      <c r="G3" s="58">
        <v>5.0</v>
      </c>
    </row>
    <row r="4">
      <c r="A4" s="57">
        <v>2.0</v>
      </c>
      <c r="B4" s="62" t="s">
        <v>131</v>
      </c>
      <c r="C4" s="59" t="s">
        <v>132</v>
      </c>
      <c r="D4" s="60">
        <v>1.0</v>
      </c>
      <c r="E4" s="58">
        <v>2.0</v>
      </c>
      <c r="F4" s="61">
        <f t="shared" si="1"/>
        <v>2</v>
      </c>
      <c r="G4" s="58">
        <v>3.0</v>
      </c>
    </row>
    <row r="5">
      <c r="A5" s="57">
        <v>3.0</v>
      </c>
      <c r="B5" s="63"/>
      <c r="C5" s="59" t="s">
        <v>133</v>
      </c>
      <c r="D5" s="60">
        <v>1.0</v>
      </c>
      <c r="E5" s="58">
        <v>1.0</v>
      </c>
      <c r="F5" s="61">
        <f t="shared" si="1"/>
        <v>1</v>
      </c>
      <c r="G5" s="58">
        <v>3.0</v>
      </c>
    </row>
    <row r="6">
      <c r="A6" s="57">
        <v>4.0</v>
      </c>
      <c r="B6" s="62" t="s">
        <v>134</v>
      </c>
      <c r="C6" s="59" t="s">
        <v>135</v>
      </c>
      <c r="D6" s="60">
        <v>0.1</v>
      </c>
      <c r="E6" s="58">
        <v>8.0</v>
      </c>
      <c r="F6" s="61">
        <f t="shared" si="1"/>
        <v>0.8</v>
      </c>
      <c r="G6" s="58">
        <v>3.0</v>
      </c>
    </row>
    <row r="7">
      <c r="A7" s="57">
        <v>5.0</v>
      </c>
      <c r="B7" s="64"/>
      <c r="C7" s="59" t="s">
        <v>136</v>
      </c>
      <c r="D7" s="60">
        <v>0.1</v>
      </c>
      <c r="E7" s="58">
        <v>8.0</v>
      </c>
      <c r="F7" s="61">
        <f t="shared" si="1"/>
        <v>0.8</v>
      </c>
      <c r="G7" s="58">
        <v>3.0</v>
      </c>
    </row>
    <row r="8">
      <c r="A8" s="57">
        <v>6.0</v>
      </c>
      <c r="B8" s="63"/>
      <c r="C8" s="59" t="s">
        <v>137</v>
      </c>
      <c r="D8" s="60">
        <v>0.1</v>
      </c>
      <c r="E8" s="58">
        <v>8.0</v>
      </c>
      <c r="F8" s="61">
        <f t="shared" si="1"/>
        <v>0.8</v>
      </c>
      <c r="G8" s="58">
        <v>3.0</v>
      </c>
    </row>
    <row r="9">
      <c r="A9" s="57">
        <v>7.0</v>
      </c>
      <c r="B9" s="62" t="s">
        <v>138</v>
      </c>
      <c r="C9" s="59" t="s">
        <v>139</v>
      </c>
      <c r="D9" s="60">
        <v>10.0</v>
      </c>
      <c r="E9" s="58">
        <v>1.0</v>
      </c>
      <c r="F9" s="61">
        <f t="shared" si="1"/>
        <v>10</v>
      </c>
      <c r="G9" s="58">
        <v>7.0</v>
      </c>
    </row>
    <row r="10">
      <c r="A10" s="57">
        <v>8.0</v>
      </c>
      <c r="B10" s="64"/>
      <c r="C10" s="59" t="s">
        <v>140</v>
      </c>
      <c r="D10" s="60">
        <v>1.0</v>
      </c>
      <c r="E10" s="58">
        <v>4.0</v>
      </c>
      <c r="F10" s="61">
        <f t="shared" si="1"/>
        <v>4</v>
      </c>
      <c r="G10" s="58">
        <v>3.0</v>
      </c>
    </row>
    <row r="11">
      <c r="A11" s="57">
        <v>9.0</v>
      </c>
      <c r="B11" s="64"/>
      <c r="C11" s="65" t="s">
        <v>141</v>
      </c>
      <c r="D11" s="60">
        <v>20.0</v>
      </c>
      <c r="E11" s="58">
        <v>1.0</v>
      </c>
      <c r="F11" s="61">
        <f t="shared" si="1"/>
        <v>20</v>
      </c>
      <c r="G11" s="58">
        <v>7.0</v>
      </c>
    </row>
    <row r="12">
      <c r="A12" s="57">
        <v>10.0</v>
      </c>
      <c r="B12" s="64"/>
      <c r="C12" s="65" t="s">
        <v>142</v>
      </c>
      <c r="D12" s="60">
        <v>10.0</v>
      </c>
      <c r="E12" s="58">
        <v>1.0</v>
      </c>
      <c r="F12" s="61">
        <f t="shared" si="1"/>
        <v>10</v>
      </c>
      <c r="G12" s="58">
        <v>5.0</v>
      </c>
    </row>
    <row r="13">
      <c r="A13" s="57">
        <v>11.0</v>
      </c>
      <c r="B13" s="64"/>
      <c r="C13" s="65" t="s">
        <v>143</v>
      </c>
      <c r="D13" s="60">
        <v>10.0</v>
      </c>
      <c r="E13" s="58">
        <v>1.0</v>
      </c>
      <c r="F13" s="61">
        <f t="shared" si="1"/>
        <v>10</v>
      </c>
      <c r="G13" s="58">
        <v>7.0</v>
      </c>
    </row>
    <row r="14">
      <c r="A14" s="57">
        <v>12.0</v>
      </c>
      <c r="B14" s="64"/>
      <c r="C14" s="65" t="s">
        <v>144</v>
      </c>
      <c r="D14" s="60">
        <v>10.0</v>
      </c>
      <c r="E14" s="58">
        <v>1.0</v>
      </c>
      <c r="F14" s="61">
        <f t="shared" si="1"/>
        <v>10</v>
      </c>
      <c r="G14" s="58">
        <v>7.0</v>
      </c>
    </row>
    <row r="15">
      <c r="A15" s="57">
        <v>13.0</v>
      </c>
      <c r="B15" s="64"/>
      <c r="C15" s="65" t="s">
        <v>145</v>
      </c>
      <c r="D15" s="60">
        <v>10.0</v>
      </c>
      <c r="E15" s="58">
        <v>1.0</v>
      </c>
      <c r="F15" s="61">
        <f t="shared" si="1"/>
        <v>10</v>
      </c>
      <c r="G15" s="58">
        <v>5.0</v>
      </c>
    </row>
    <row r="16">
      <c r="A16" s="57">
        <v>14.0</v>
      </c>
      <c r="B16" s="64"/>
      <c r="C16" s="65" t="s">
        <v>146</v>
      </c>
      <c r="D16" s="60">
        <v>5.0</v>
      </c>
      <c r="E16" s="58">
        <v>1.0</v>
      </c>
      <c r="F16" s="61">
        <f t="shared" si="1"/>
        <v>5</v>
      </c>
      <c r="G16" s="58">
        <v>3.0</v>
      </c>
    </row>
    <row r="17">
      <c r="A17" s="57">
        <v>15.0</v>
      </c>
      <c r="B17" s="63"/>
      <c r="C17" s="65" t="s">
        <v>147</v>
      </c>
      <c r="D17" s="60">
        <v>2.0</v>
      </c>
      <c r="E17" s="58">
        <v>1.0</v>
      </c>
      <c r="F17" s="61">
        <f t="shared" si="1"/>
        <v>2</v>
      </c>
      <c r="G17" s="58">
        <v>3.0</v>
      </c>
    </row>
    <row r="18">
      <c r="F18" s="32">
        <f>SUM(F3:F17)</f>
        <v>97.9</v>
      </c>
    </row>
  </sheetData>
  <mergeCells count="3">
    <mergeCell ref="B4:B5"/>
    <mergeCell ref="B6:B8"/>
    <mergeCell ref="B9:B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50.3"/>
    <col customWidth="1" min="2" max="2" width="12.6"/>
    <col customWidth="1" min="3" max="3" width="17.2"/>
    <col customWidth="1" min="4" max="4" width="22.7"/>
    <col customWidth="1" min="5" max="5" width="20.0"/>
    <col customWidth="1" min="6" max="6" width="11.3"/>
    <col customWidth="1" min="7" max="7" width="51.9"/>
  </cols>
  <sheetData>
    <row r="1">
      <c r="A1" s="2" t="s">
        <v>148</v>
      </c>
      <c r="B1" s="2" t="s">
        <v>60</v>
      </c>
      <c r="C1" s="66"/>
    </row>
    <row r="2">
      <c r="A2" s="3" t="s">
        <v>149</v>
      </c>
      <c r="B2" s="3"/>
      <c r="E2" s="2" t="s">
        <v>150</v>
      </c>
    </row>
    <row r="3">
      <c r="A3" s="3" t="s">
        <v>151</v>
      </c>
      <c r="B3" s="4">
        <v>200.0</v>
      </c>
      <c r="C3" s="3">
        <v>200.0</v>
      </c>
      <c r="E3" s="3" t="s">
        <v>11</v>
      </c>
      <c r="F3" s="4">
        <v>24000.0</v>
      </c>
    </row>
    <row r="4">
      <c r="A4" s="3" t="s">
        <v>152</v>
      </c>
      <c r="B4" s="4">
        <v>5000.0</v>
      </c>
      <c r="C4" s="3">
        <v>5000.0</v>
      </c>
      <c r="E4" s="3" t="s">
        <v>15</v>
      </c>
      <c r="F4" s="4">
        <v>30000.0</v>
      </c>
    </row>
    <row r="5">
      <c r="A5" s="3" t="s">
        <v>153</v>
      </c>
      <c r="B5" s="4">
        <v>80.0</v>
      </c>
      <c r="C5" s="3">
        <v>80.0</v>
      </c>
      <c r="E5" s="3" t="s">
        <v>27</v>
      </c>
      <c r="F5" s="4">
        <v>24000.0</v>
      </c>
    </row>
    <row r="6">
      <c r="A6" s="3" t="s">
        <v>150</v>
      </c>
      <c r="B6" s="4">
        <v>132000.0</v>
      </c>
      <c r="C6" s="3"/>
      <c r="E6" s="3"/>
      <c r="F6" s="4"/>
    </row>
    <row r="7">
      <c r="A7" s="3" t="s">
        <v>154</v>
      </c>
      <c r="B7" s="4">
        <v>0.0</v>
      </c>
      <c r="C7" s="3">
        <v>0.0</v>
      </c>
      <c r="E7" s="3" t="s">
        <v>29</v>
      </c>
      <c r="F7" s="4">
        <v>24000.0</v>
      </c>
    </row>
    <row r="8">
      <c r="A8" s="3" t="s">
        <v>155</v>
      </c>
      <c r="B8" s="3"/>
      <c r="E8" s="3" t="s">
        <v>72</v>
      </c>
      <c r="F8" s="4">
        <v>30000.0</v>
      </c>
    </row>
    <row r="9">
      <c r="A9" s="23" t="s">
        <v>62</v>
      </c>
      <c r="B9" s="4">
        <v>0.0</v>
      </c>
      <c r="C9" s="3">
        <v>0.0</v>
      </c>
      <c r="E9" s="3" t="s">
        <v>156</v>
      </c>
      <c r="F9" s="4">
        <v>132000.0</v>
      </c>
    </row>
    <row r="10">
      <c r="A10" s="23" t="s">
        <v>63</v>
      </c>
      <c r="B10" s="4">
        <v>0.0</v>
      </c>
      <c r="C10" s="3">
        <v>0.0</v>
      </c>
    </row>
    <row r="11">
      <c r="A11" s="3" t="s">
        <v>64</v>
      </c>
      <c r="B11" s="4">
        <v>1000.0</v>
      </c>
      <c r="C11" s="3">
        <v>1000.0</v>
      </c>
    </row>
    <row r="12">
      <c r="A12" s="3" t="s">
        <v>65</v>
      </c>
      <c r="B12" s="4">
        <v>200.0</v>
      </c>
      <c r="C12" s="3">
        <v>200.0</v>
      </c>
      <c r="E12" s="2" t="s">
        <v>157</v>
      </c>
    </row>
    <row r="13">
      <c r="A13" s="3" t="s">
        <v>66</v>
      </c>
      <c r="B13" s="4">
        <v>170.0</v>
      </c>
      <c r="C13" s="3">
        <v>170.0</v>
      </c>
      <c r="E13" s="3" t="s">
        <v>158</v>
      </c>
      <c r="F13" s="3"/>
    </row>
    <row r="14">
      <c r="A14" s="3" t="s">
        <v>67</v>
      </c>
      <c r="B14" s="4">
        <v>500.0</v>
      </c>
      <c r="C14" s="3">
        <v>500.0</v>
      </c>
      <c r="E14" s="3" t="s">
        <v>159</v>
      </c>
      <c r="F14" s="3"/>
    </row>
    <row r="15" ht="18.0" customHeight="1">
      <c r="A15" s="3" t="s">
        <v>68</v>
      </c>
      <c r="B15" s="4">
        <v>1000.0</v>
      </c>
      <c r="C15" s="3">
        <v>1000.0</v>
      </c>
      <c r="E15" s="3" t="s">
        <v>160</v>
      </c>
      <c r="F15" s="3"/>
    </row>
    <row r="16">
      <c r="A16" s="3" t="s">
        <v>69</v>
      </c>
      <c r="B16" s="4">
        <v>1000.0</v>
      </c>
      <c r="C16" s="3">
        <v>1000.0</v>
      </c>
      <c r="E16" s="3" t="s">
        <v>161</v>
      </c>
      <c r="F16" s="3"/>
    </row>
    <row r="17">
      <c r="A17" s="3" t="s">
        <v>162</v>
      </c>
      <c r="B17" s="3"/>
      <c r="E17" s="3" t="s">
        <v>163</v>
      </c>
      <c r="F17" s="3"/>
    </row>
    <row r="18">
      <c r="A18" s="3" t="s">
        <v>164</v>
      </c>
      <c r="B18" s="32">
        <v>128.93</v>
      </c>
      <c r="C18" s="3">
        <v>128.93</v>
      </c>
      <c r="E18" s="3" t="s">
        <v>165</v>
      </c>
      <c r="F18" s="3"/>
    </row>
    <row r="19">
      <c r="A19" s="3" t="s">
        <v>166</v>
      </c>
      <c r="B19" s="4">
        <v>2000.0</v>
      </c>
      <c r="C19" s="3">
        <v>2000.0</v>
      </c>
      <c r="E19" s="3" t="s">
        <v>167</v>
      </c>
      <c r="F19" s="3"/>
    </row>
    <row r="20">
      <c r="A20" s="3" t="s">
        <v>168</v>
      </c>
      <c r="B20" s="4">
        <v>0.0</v>
      </c>
      <c r="C20" s="3">
        <v>0.0</v>
      </c>
      <c r="E20" s="3" t="s">
        <v>169</v>
      </c>
      <c r="F20" s="3"/>
    </row>
    <row r="21">
      <c r="A21" s="3" t="s">
        <v>170</v>
      </c>
      <c r="B21" s="4">
        <v>15342.0</v>
      </c>
      <c r="C21" s="3">
        <v>15342.0</v>
      </c>
    </row>
    <row r="22">
      <c r="A22" s="3"/>
      <c r="B22" s="4"/>
      <c r="C22" s="3"/>
    </row>
    <row r="23">
      <c r="A23" s="3" t="s">
        <v>171</v>
      </c>
      <c r="B23" s="32">
        <f>SUM(B2:B22)</f>
        <v>158620.93</v>
      </c>
      <c r="C23" s="3">
        <f>sum(C3:C19)</f>
        <v>11278.93</v>
      </c>
    </row>
    <row r="24">
      <c r="E24" s="13" t="s">
        <v>172</v>
      </c>
      <c r="F24" s="3"/>
    </row>
    <row r="25" ht="17.25" customHeight="1">
      <c r="A25" s="3" t="s">
        <v>173</v>
      </c>
      <c r="B25" s="3">
        <v>1000.0</v>
      </c>
      <c r="E25" s="3" t="s">
        <v>174</v>
      </c>
      <c r="F25" s="3"/>
    </row>
    <row r="26" ht="16.5" customHeight="1">
      <c r="A26" s="3" t="s">
        <v>175</v>
      </c>
      <c r="B26" s="32">
        <f>B23/B25</f>
        <v>158.62093</v>
      </c>
      <c r="E26" s="3" t="s">
        <v>176</v>
      </c>
      <c r="F26" s="3"/>
    </row>
    <row r="27">
      <c r="A27" s="23" t="s">
        <v>177</v>
      </c>
      <c r="B27" s="3">
        <v>0.1</v>
      </c>
      <c r="E27" s="3" t="s">
        <v>178</v>
      </c>
      <c r="F27" s="3"/>
    </row>
    <row r="28" ht="17.25" customHeight="1">
      <c r="A28" s="3" t="s">
        <v>179</v>
      </c>
      <c r="B28" s="32">
        <f>B26*B27</f>
        <v>15.862093</v>
      </c>
      <c r="E28" s="3" t="s">
        <v>180</v>
      </c>
      <c r="F28" s="3"/>
    </row>
    <row r="29">
      <c r="A29" s="23" t="s">
        <v>181</v>
      </c>
      <c r="B29" s="32">
        <f>B26+B28</f>
        <v>174.483023</v>
      </c>
      <c r="E29" s="3" t="s">
        <v>182</v>
      </c>
      <c r="F29" s="3"/>
    </row>
    <row r="30">
      <c r="A30" s="3" t="s">
        <v>183</v>
      </c>
    </row>
    <row r="31">
      <c r="A31" s="3" t="s">
        <v>184</v>
      </c>
    </row>
    <row r="32">
      <c r="A32" s="3" t="s">
        <v>185</v>
      </c>
    </row>
    <row r="33">
      <c r="A33" s="3" t="s">
        <v>186</v>
      </c>
    </row>
    <row r="34">
      <c r="A34" s="3" t="s">
        <v>187</v>
      </c>
      <c r="B34" s="32">
        <f>B29</f>
        <v>174.483023</v>
      </c>
    </row>
    <row r="35">
      <c r="A35" s="3" t="s">
        <v>188</v>
      </c>
    </row>
    <row r="36">
      <c r="A36" s="3" t="s">
        <v>189</v>
      </c>
      <c r="B36" s="67">
        <v>1454024.61</v>
      </c>
    </row>
    <row r="37">
      <c r="A37" s="3" t="s">
        <v>190</v>
      </c>
    </row>
    <row r="40">
      <c r="A40" s="3" t="s">
        <v>191</v>
      </c>
      <c r="B40" s="3"/>
    </row>
    <row r="41">
      <c r="A41" s="3"/>
      <c r="B41" s="3"/>
    </row>
    <row r="42">
      <c r="A42" s="68" t="s">
        <v>192</v>
      </c>
    </row>
    <row r="43">
      <c r="A43" s="2" t="s">
        <v>193</v>
      </c>
      <c r="B43" s="2" t="s">
        <v>194</v>
      </c>
      <c r="C43" s="2" t="s">
        <v>195</v>
      </c>
      <c r="D43" s="2" t="s">
        <v>196</v>
      </c>
    </row>
    <row r="44">
      <c r="A44" s="3" t="s">
        <v>197</v>
      </c>
      <c r="B44" s="3" t="s">
        <v>198</v>
      </c>
      <c r="C44" s="3" t="s">
        <v>199</v>
      </c>
      <c r="D44" s="32">
        <f>'Income Statement'!C20/4</f>
        <v>42245</v>
      </c>
    </row>
    <row r="45">
      <c r="A45" s="3" t="s">
        <v>200</v>
      </c>
      <c r="B45" s="3" t="s">
        <v>201</v>
      </c>
      <c r="C45" s="3" t="s">
        <v>199</v>
      </c>
      <c r="D45" s="3" t="s">
        <v>202</v>
      </c>
    </row>
    <row r="46">
      <c r="A46" s="3" t="s">
        <v>203</v>
      </c>
      <c r="B46" s="3" t="s">
        <v>204</v>
      </c>
      <c r="C46" s="3" t="s">
        <v>205</v>
      </c>
      <c r="D46" s="3" t="s">
        <v>206</v>
      </c>
    </row>
    <row r="47">
      <c r="A47" s="3" t="s">
        <v>207</v>
      </c>
      <c r="B47" s="3" t="s">
        <v>208</v>
      </c>
      <c r="C47" s="3" t="s">
        <v>209</v>
      </c>
      <c r="D47" s="3" t="s">
        <v>210</v>
      </c>
    </row>
    <row r="48">
      <c r="A48" s="3" t="s">
        <v>211</v>
      </c>
      <c r="B48" s="3" t="s">
        <v>208</v>
      </c>
      <c r="C48" s="3" t="s">
        <v>212</v>
      </c>
      <c r="D48" s="3" t="s">
        <v>213</v>
      </c>
    </row>
    <row r="49">
      <c r="A49" s="3" t="s">
        <v>214</v>
      </c>
      <c r="B49" s="3" t="s">
        <v>215</v>
      </c>
      <c r="C49" s="3" t="s">
        <v>216</v>
      </c>
      <c r="D49" s="3" t="s">
        <v>217</v>
      </c>
    </row>
  </sheetData>
  <mergeCells count="3">
    <mergeCell ref="E2:F2"/>
    <mergeCell ref="E12:F12"/>
    <mergeCell ref="A42:D4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0.1" defaultRowHeight="15.0"/>
  <cols>
    <col customWidth="1" min="1" max="1" width="20.5"/>
    <col customWidth="1" min="2" max="2" width="11.8"/>
    <col customWidth="1" min="3" max="3" width="10.6"/>
    <col customWidth="1" min="4" max="4" width="9.4"/>
    <col customWidth="1" min="5" max="5" width="30.0"/>
    <col customWidth="1" min="7" max="7" width="11.7"/>
  </cols>
  <sheetData>
    <row r="1">
      <c r="A1" s="2" t="s">
        <v>218</v>
      </c>
      <c r="B1" s="2" t="s">
        <v>83</v>
      </c>
      <c r="C1" s="2" t="s">
        <v>219</v>
      </c>
      <c r="E1" s="21" t="s">
        <v>220</v>
      </c>
      <c r="F1" s="2" t="s">
        <v>83</v>
      </c>
      <c r="G1" s="2" t="s">
        <v>219</v>
      </c>
    </row>
    <row r="2">
      <c r="A2" s="2" t="s">
        <v>221</v>
      </c>
      <c r="E2" s="21" t="s">
        <v>222</v>
      </c>
    </row>
    <row r="3" ht="15.0" customHeight="1">
      <c r="A3" s="3" t="s">
        <v>223</v>
      </c>
      <c r="B3" s="4">
        <v>145200.0</v>
      </c>
      <c r="C3" s="4">
        <v>150000.0</v>
      </c>
      <c r="E3" s="5" t="s">
        <v>224</v>
      </c>
      <c r="F3" s="19">
        <v>15000.0</v>
      </c>
      <c r="G3" s="19">
        <v>12000.0</v>
      </c>
    </row>
    <row r="4" ht="15.0" customHeight="1">
      <c r="A4" s="3" t="s">
        <v>225</v>
      </c>
      <c r="B4" s="4">
        <v>3000.0</v>
      </c>
      <c r="C4" s="4">
        <v>3500.0</v>
      </c>
      <c r="E4" s="3" t="s">
        <v>226</v>
      </c>
      <c r="F4" s="19">
        <v>261780.0</v>
      </c>
      <c r="G4" s="19">
        <v>279696.0</v>
      </c>
    </row>
    <row r="5" ht="15.0" customHeight="1">
      <c r="A5" s="3" t="s">
        <v>227</v>
      </c>
      <c r="B5" s="4">
        <v>50000.0</v>
      </c>
      <c r="C5" s="4">
        <v>55000.0</v>
      </c>
      <c r="E5" s="5" t="s">
        <v>228</v>
      </c>
      <c r="F5" s="19">
        <v>4420.0</v>
      </c>
      <c r="G5" s="19">
        <v>5304.0</v>
      </c>
    </row>
    <row r="6" ht="15.0" customHeight="1">
      <c r="A6" s="3" t="s">
        <v>229</v>
      </c>
      <c r="B6" s="4">
        <v>0.0</v>
      </c>
      <c r="C6" s="4">
        <v>0.0</v>
      </c>
      <c r="E6" s="5" t="s">
        <v>230</v>
      </c>
      <c r="F6" s="19">
        <v>3000.0</v>
      </c>
      <c r="G6" s="19">
        <v>4500.0</v>
      </c>
    </row>
    <row r="7" ht="15.0" customHeight="1">
      <c r="A7" s="40" t="s">
        <v>231</v>
      </c>
      <c r="B7" s="7">
        <v>198200.0</v>
      </c>
      <c r="C7" s="7">
        <v>208500.0</v>
      </c>
      <c r="E7" s="5" t="s">
        <v>232</v>
      </c>
      <c r="F7" s="19">
        <v>40000.0</v>
      </c>
      <c r="G7" s="19">
        <v>40000.0</v>
      </c>
    </row>
    <row r="8" ht="15.0" customHeight="1">
      <c r="E8" s="5" t="s">
        <v>233</v>
      </c>
      <c r="F8" s="19">
        <f t="shared" ref="F8:G8" si="1">SUM(F3:F7)</f>
        <v>324200</v>
      </c>
      <c r="G8" s="19">
        <f t="shared" si="1"/>
        <v>341500</v>
      </c>
    </row>
    <row r="9" ht="15.0" customHeight="1">
      <c r="A9" s="2" t="s">
        <v>234</v>
      </c>
      <c r="E9" s="3" t="s">
        <v>235</v>
      </c>
      <c r="F9" s="5"/>
      <c r="G9" s="5"/>
    </row>
    <row r="10" ht="15.0" customHeight="1">
      <c r="A10" s="3" t="s">
        <v>236</v>
      </c>
      <c r="B10" s="4">
        <v>50000.0</v>
      </c>
      <c r="C10" s="4">
        <v>55000.0</v>
      </c>
      <c r="E10" s="5" t="s">
        <v>237</v>
      </c>
      <c r="F10" s="19">
        <v>10000.0</v>
      </c>
      <c r="G10" s="19">
        <v>10000.0</v>
      </c>
    </row>
    <row r="11" ht="15.0" customHeight="1">
      <c r="A11" s="3" t="s">
        <v>238</v>
      </c>
      <c r="B11" s="4">
        <v>9000.0</v>
      </c>
      <c r="C11" s="4">
        <v>10000.0</v>
      </c>
      <c r="E11" s="5" t="s">
        <v>239</v>
      </c>
      <c r="F11" s="19">
        <v>0.0</v>
      </c>
      <c r="G11" s="19">
        <v>0.0</v>
      </c>
    </row>
    <row r="12" ht="15.0" customHeight="1">
      <c r="A12" s="3" t="s">
        <v>240</v>
      </c>
      <c r="E12" s="5" t="s">
        <v>241</v>
      </c>
      <c r="F12" s="19">
        <f t="shared" ref="F12:G12" si="2">SUM(F10:F11)</f>
        <v>10000</v>
      </c>
      <c r="G12" s="19">
        <f t="shared" si="2"/>
        <v>10000</v>
      </c>
    </row>
    <row r="13" ht="15.0" customHeight="1">
      <c r="A13" s="3" t="s">
        <v>242</v>
      </c>
      <c r="B13" s="4">
        <v>100000.0</v>
      </c>
      <c r="C13" s="4">
        <v>105000.0</v>
      </c>
      <c r="E13" s="5"/>
      <c r="F13" s="5"/>
      <c r="G13" s="5"/>
    </row>
    <row r="14" ht="15.0" customHeight="1">
      <c r="A14" s="3" t="s">
        <v>243</v>
      </c>
      <c r="B14" s="4">
        <v>5000.0</v>
      </c>
      <c r="C14" s="4">
        <v>7000.0</v>
      </c>
      <c r="E14" s="20" t="s">
        <v>244</v>
      </c>
      <c r="F14" s="69">
        <f t="shared" ref="F14:G14" si="3">SUM(F8,F12)</f>
        <v>334200</v>
      </c>
      <c r="G14" s="69">
        <f t="shared" si="3"/>
        <v>351500</v>
      </c>
    </row>
    <row r="15" ht="15.0" customHeight="1">
      <c r="A15" s="3" t="s">
        <v>245</v>
      </c>
      <c r="B15" s="4">
        <v>136000.0</v>
      </c>
      <c r="C15" s="4">
        <v>143000.0</v>
      </c>
    </row>
    <row r="16" ht="15.0" customHeight="1">
      <c r="A16" s="40" t="s">
        <v>246</v>
      </c>
      <c r="B16" s="7">
        <v>334200.0</v>
      </c>
      <c r="C16" s="7">
        <v>351500.0</v>
      </c>
    </row>
    <row r="17" ht="15.0" customHeight="1"/>
    <row r="18" ht="15.0" customHeight="1">
      <c r="A18" s="3" t="s">
        <v>247</v>
      </c>
    </row>
    <row r="19" ht="58.5" customHeight="1">
      <c r="A19" s="23" t="s">
        <v>248</v>
      </c>
    </row>
    <row r="20" ht="42.75" customHeight="1">
      <c r="A20" s="23" t="s">
        <v>249</v>
      </c>
      <c r="E20" s="3"/>
    </row>
    <row r="21" ht="15.75" customHeight="1">
      <c r="A21" s="3" t="s">
        <v>250</v>
      </c>
      <c r="C21" s="3"/>
      <c r="D21" s="3"/>
      <c r="E21" s="3"/>
    </row>
    <row r="22" ht="16.5" customHeight="1">
      <c r="A22" s="3" t="s">
        <v>251</v>
      </c>
      <c r="C22" s="3"/>
      <c r="D22" s="3"/>
      <c r="E22" s="3"/>
    </row>
    <row r="23" ht="15.75" customHeight="1">
      <c r="A23" s="23" t="s">
        <v>252</v>
      </c>
      <c r="C23" s="3"/>
      <c r="D23" s="3"/>
      <c r="E23" s="3"/>
    </row>
    <row r="24" ht="33.75" customHeight="1">
      <c r="C24" s="3"/>
      <c r="D24" s="3"/>
      <c r="E24" s="3"/>
    </row>
    <row r="25" ht="38.25" customHeight="1">
      <c r="C25" s="3"/>
      <c r="D25" s="3"/>
      <c r="E25" s="3"/>
    </row>
    <row r="26" ht="54.0" customHeight="1">
      <c r="C26" s="3"/>
      <c r="D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2:C2"/>
    <mergeCell ref="E2:G2"/>
    <mergeCell ref="A9:C9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0.1" defaultRowHeight="15.0"/>
  <cols>
    <col customWidth="1" min="1" max="1" width="29.5"/>
    <col customWidth="1" min="2" max="2" width="28.3"/>
    <col customWidth="1" min="3" max="3" width="16.6"/>
    <col customWidth="1" min="4" max="4" width="85.3"/>
    <col customWidth="1" min="5" max="6" width="10.1"/>
  </cols>
  <sheetData>
    <row r="1" ht="18.75" customHeight="1">
      <c r="A1" s="2" t="s">
        <v>253</v>
      </c>
      <c r="D1" s="70"/>
    </row>
    <row r="2" ht="20.25" customHeight="1">
      <c r="A2" s="2" t="s">
        <v>254</v>
      </c>
      <c r="B2" s="71" t="s">
        <v>4</v>
      </c>
      <c r="C2" s="2" t="s">
        <v>255</v>
      </c>
      <c r="D2" s="2" t="s">
        <v>52</v>
      </c>
    </row>
    <row r="3">
      <c r="A3" s="2" t="s">
        <v>256</v>
      </c>
      <c r="D3" s="70"/>
    </row>
    <row r="4">
      <c r="A4" s="3" t="s">
        <v>257</v>
      </c>
      <c r="B4" s="19" t="s">
        <v>258</v>
      </c>
      <c r="C4" s="31">
        <v>-150000.0</v>
      </c>
      <c r="D4" s="17" t="s">
        <v>259</v>
      </c>
    </row>
    <row r="5">
      <c r="A5" s="3" t="s">
        <v>260</v>
      </c>
      <c r="B5" s="19" t="s">
        <v>261</v>
      </c>
      <c r="C5" s="31">
        <f>-('Development Costs Non Recurrent'!H22)</f>
        <v>-366700</v>
      </c>
      <c r="D5" s="17" t="s">
        <v>262</v>
      </c>
    </row>
    <row r="6" ht="18.0" customHeight="1">
      <c r="A6" s="3" t="s">
        <v>263</v>
      </c>
      <c r="B6" s="19" t="s">
        <v>264</v>
      </c>
      <c r="C6" s="31">
        <v>-50000.0</v>
      </c>
      <c r="D6" s="17" t="s">
        <v>265</v>
      </c>
    </row>
    <row r="7" ht="24.75" customHeight="1">
      <c r="A7" s="3" t="s">
        <v>266</v>
      </c>
      <c r="B7" s="19" t="s">
        <v>267</v>
      </c>
      <c r="C7" s="31">
        <v>-30000.0</v>
      </c>
      <c r="D7" s="17" t="s">
        <v>268</v>
      </c>
    </row>
    <row r="8">
      <c r="A8" s="3" t="s">
        <v>269</v>
      </c>
      <c r="B8" s="3" t="s">
        <v>270</v>
      </c>
      <c r="C8" s="31">
        <v>-20000.0</v>
      </c>
      <c r="D8" s="17" t="s">
        <v>271</v>
      </c>
    </row>
    <row r="9" ht="22.5" customHeight="1">
      <c r="A9" s="3" t="s">
        <v>272</v>
      </c>
      <c r="B9" s="19"/>
      <c r="C9" s="31">
        <f>SUM(C4:C8)</f>
        <v>-616700</v>
      </c>
      <c r="D9" s="72"/>
    </row>
    <row r="10">
      <c r="A10" s="5"/>
      <c r="B10" s="5"/>
      <c r="C10" s="31"/>
      <c r="D10" s="72"/>
    </row>
    <row r="11" ht="21.75" customHeight="1">
      <c r="A11" s="8" t="s">
        <v>273</v>
      </c>
      <c r="D11" s="72"/>
    </row>
    <row r="12" ht="24.75" customHeight="1">
      <c r="A12" s="3" t="s">
        <v>274</v>
      </c>
      <c r="B12" s="19" t="s">
        <v>275</v>
      </c>
      <c r="C12" s="31">
        <v>-40000.0</v>
      </c>
      <c r="D12" s="17" t="s">
        <v>276</v>
      </c>
    </row>
    <row r="13">
      <c r="A13" s="3" t="s">
        <v>277</v>
      </c>
      <c r="B13" s="19"/>
      <c r="C13" s="31">
        <f>SUM(C12)</f>
        <v>-40000</v>
      </c>
      <c r="D13" s="72"/>
    </row>
    <row r="14">
      <c r="C14" s="31"/>
      <c r="D14" s="72"/>
    </row>
    <row r="15">
      <c r="A15" s="2" t="s">
        <v>278</v>
      </c>
      <c r="D15" s="72"/>
    </row>
    <row r="16">
      <c r="A16" s="3" t="s">
        <v>279</v>
      </c>
      <c r="B16" s="3" t="s">
        <v>280</v>
      </c>
      <c r="C16" s="31">
        <f>'Balance Sheet'!B3</f>
        <v>145200</v>
      </c>
      <c r="D16" s="17" t="s">
        <v>281</v>
      </c>
    </row>
    <row r="17">
      <c r="A17" s="3" t="s">
        <v>282</v>
      </c>
      <c r="B17" s="3" t="s">
        <v>283</v>
      </c>
      <c r="C17" s="31">
        <v>-10000.0</v>
      </c>
      <c r="D17" s="17" t="s">
        <v>284</v>
      </c>
    </row>
    <row r="18">
      <c r="A18" s="3" t="s">
        <v>285</v>
      </c>
      <c r="B18" s="3" t="s">
        <v>286</v>
      </c>
      <c r="C18" s="31">
        <v>-5000.0</v>
      </c>
      <c r="D18" s="17" t="s">
        <v>287</v>
      </c>
    </row>
    <row r="19" ht="15.75" customHeight="1">
      <c r="A19" s="3" t="s">
        <v>288</v>
      </c>
      <c r="C19" s="31">
        <f>SUM(C16:C18)</f>
        <v>130200</v>
      </c>
      <c r="D19" s="72"/>
    </row>
    <row r="20" ht="15.75" customHeight="1">
      <c r="D20" s="72"/>
    </row>
    <row r="21" ht="15.75" customHeight="1">
      <c r="A21" s="73" t="s">
        <v>289</v>
      </c>
      <c r="B21" s="74"/>
      <c r="C21" s="75">
        <f>SUM(C9,C19)</f>
        <v>-486500</v>
      </c>
      <c r="D21" s="17" t="s">
        <v>290</v>
      </c>
    </row>
    <row r="22" ht="15.75" customHeight="1">
      <c r="A22" s="40" t="s">
        <v>291</v>
      </c>
      <c r="C22" s="31">
        <v>0.0</v>
      </c>
    </row>
    <row r="23" ht="15.75" customHeight="1">
      <c r="A23" s="73" t="s">
        <v>292</v>
      </c>
      <c r="B23" s="74"/>
      <c r="C23" s="75">
        <f>SUM(C21,C22)</f>
        <v>-486500</v>
      </c>
    </row>
    <row r="24" ht="15.75" customHeight="1"/>
    <row r="25" ht="15.75" customHeight="1">
      <c r="A25" s="24" t="str">
        <f>A23</f>
        <v>Cash at End of Year</v>
      </c>
      <c r="B25" s="31">
        <f>C23</f>
        <v>-486500</v>
      </c>
      <c r="D25" s="76" t="s">
        <v>293</v>
      </c>
    </row>
    <row r="26" ht="15.75" customHeight="1">
      <c r="D26" s="15" t="s">
        <v>294</v>
      </c>
    </row>
    <row r="27" ht="15.75" customHeight="1">
      <c r="D27" s="77" t="s">
        <v>295</v>
      </c>
    </row>
    <row r="28" ht="15.75" customHeight="1">
      <c r="D28" s="15" t="s">
        <v>296</v>
      </c>
    </row>
    <row r="29" ht="15.75" customHeight="1">
      <c r="D29" s="78" t="s">
        <v>297</v>
      </c>
    </row>
    <row r="30" ht="15.75" customHeight="1">
      <c r="D30" s="15" t="s">
        <v>298</v>
      </c>
    </row>
    <row r="31" ht="15.75" customHeight="1">
      <c r="D31" s="78" t="s">
        <v>299</v>
      </c>
    </row>
    <row r="32" ht="15.75" customHeight="1">
      <c r="D32" s="15" t="s">
        <v>300</v>
      </c>
    </row>
    <row r="33" ht="15.75" customHeight="1">
      <c r="D33" s="77" t="s">
        <v>301</v>
      </c>
    </row>
    <row r="34" ht="15.75" customHeight="1">
      <c r="D34" s="15" t="s">
        <v>302</v>
      </c>
    </row>
    <row r="35" ht="15.75" customHeight="1">
      <c r="D35" s="78" t="s">
        <v>303</v>
      </c>
    </row>
    <row r="36" ht="15.75" customHeight="1">
      <c r="D36" s="15" t="s">
        <v>304</v>
      </c>
    </row>
    <row r="37" ht="15.75" customHeight="1">
      <c r="D37" s="78" t="s">
        <v>305</v>
      </c>
    </row>
    <row r="38" ht="15.75" customHeight="1">
      <c r="D38" s="15" t="s">
        <v>306</v>
      </c>
    </row>
    <row r="39" ht="15.75" customHeight="1">
      <c r="D39" s="78" t="s">
        <v>307</v>
      </c>
    </row>
    <row r="40" ht="15.75" customHeight="1">
      <c r="D40" s="17" t="s">
        <v>308</v>
      </c>
    </row>
    <row r="41" ht="15.75" customHeight="1">
      <c r="D41" s="15" t="s">
        <v>309</v>
      </c>
    </row>
    <row r="42" ht="15.75" customHeight="1">
      <c r="D42" s="78" t="s">
        <v>310</v>
      </c>
    </row>
    <row r="43" ht="15.75" customHeight="1">
      <c r="D43" s="78" t="s">
        <v>311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:C1"/>
    <mergeCell ref="A3:C3"/>
    <mergeCell ref="A11:C11"/>
    <mergeCell ref="A15:C15"/>
  </mergeCells>
  <hyperlinks>
    <hyperlink r:id="rId1" ref="D27"/>
    <hyperlink r:id="rId2" ref="D29"/>
    <hyperlink r:id="rId3" ref="D31"/>
    <hyperlink r:id="rId4" ref="D33"/>
    <hyperlink r:id="rId5" ref="D35"/>
    <hyperlink r:id="rId6" ref="D37"/>
    <hyperlink r:id="rId7" ref="D39"/>
    <hyperlink r:id="rId8" ref="D42"/>
    <hyperlink r:id="rId9" ref="D43"/>
  </hyperlinks>
  <printOptions/>
  <pageMargins bottom="0.75" footer="0.0" header="0.0" left="0.7" right="0.7" top="0.75"/>
  <pageSetup orientation="landscape"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2" max="2" width="30.3"/>
    <col customWidth="1" min="3" max="3" width="14.1"/>
    <col customWidth="1" min="4" max="4" width="12.9"/>
    <col customWidth="1" min="5" max="5" width="11.3"/>
    <col customWidth="1" min="6" max="6" width="12.1"/>
    <col customWidth="1" min="7" max="7" width="13.9"/>
    <col customWidth="1" min="8" max="8" width="15.1"/>
    <col customWidth="1" min="9" max="9" width="12.5"/>
    <col customWidth="1" min="10" max="10" width="13.7"/>
    <col customWidth="1" min="11" max="11" width="12.7"/>
    <col customWidth="1" min="12" max="12" width="11.0"/>
  </cols>
  <sheetData>
    <row r="1">
      <c r="C1" s="41" t="s">
        <v>312</v>
      </c>
      <c r="D1" s="41" t="s">
        <v>313</v>
      </c>
      <c r="E1" s="41" t="s">
        <v>314</v>
      </c>
      <c r="F1" s="41" t="s">
        <v>315</v>
      </c>
      <c r="G1" s="41" t="s">
        <v>316</v>
      </c>
      <c r="H1" s="41" t="s">
        <v>317</v>
      </c>
      <c r="I1" s="41" t="s">
        <v>318</v>
      </c>
      <c r="J1" s="41" t="s">
        <v>319</v>
      </c>
      <c r="K1" s="41" t="s">
        <v>320</v>
      </c>
      <c r="L1" s="41" t="s">
        <v>321</v>
      </c>
    </row>
    <row r="2">
      <c r="A2" s="79"/>
      <c r="B2" s="80" t="s">
        <v>82</v>
      </c>
      <c r="C2" s="81"/>
      <c r="D2" s="81"/>
      <c r="E2" s="81"/>
      <c r="F2" s="81"/>
      <c r="G2" s="81"/>
      <c r="H2" s="81"/>
      <c r="I2" s="81"/>
      <c r="J2" s="81"/>
      <c r="K2" s="81"/>
      <c r="L2" s="81"/>
    </row>
    <row r="3">
      <c r="B3" s="3" t="s">
        <v>322</v>
      </c>
      <c r="C3" s="32">
        <f>'Sales Forecast'!G3</f>
        <v>174480</v>
      </c>
      <c r="D3" s="32">
        <f>'Sales Forecast'!G4</f>
        <v>340236</v>
      </c>
      <c r="E3" s="32">
        <f>'Sales Forecast'!G5</f>
        <v>598815.36</v>
      </c>
      <c r="F3" s="32">
        <f>'Sales Forecast'!G6</f>
        <v>688637.664</v>
      </c>
      <c r="G3" s="32">
        <f>'Sales Forecast'!G7</f>
        <v>1249890.385</v>
      </c>
      <c r="H3" s="32">
        <f>'Sales Forecast'!$G8</f>
        <v>1429969.859</v>
      </c>
      <c r="I3" s="32">
        <f>'Sales Forecast'!$G9</f>
        <v>1584562.564</v>
      </c>
      <c r="J3" s="32">
        <f>'Sales Forecast'!$G10</f>
        <v>1739155.27</v>
      </c>
      <c r="K3" s="32">
        <f>'Sales Forecast'!$G11</f>
        <v>1893747.975</v>
      </c>
      <c r="L3" s="32">
        <f>'Sales Forecast'!$G12</f>
        <v>2048340.681</v>
      </c>
    </row>
    <row r="4">
      <c r="A4" s="79"/>
      <c r="B4" s="80" t="s">
        <v>323</v>
      </c>
      <c r="C4" s="81"/>
      <c r="D4" s="81"/>
      <c r="E4" s="81"/>
      <c r="F4" s="81"/>
      <c r="G4" s="81"/>
      <c r="H4" s="81"/>
      <c r="I4" s="81"/>
      <c r="J4" s="81"/>
      <c r="K4" s="81"/>
      <c r="L4" s="81"/>
    </row>
    <row r="5">
      <c r="B5" s="3" t="s">
        <v>324</v>
      </c>
      <c r="C5" s="6">
        <f>'Production Costs Recurrent Cost'!C20</f>
        <v>140950</v>
      </c>
      <c r="D5" s="4">
        <f t="shared" ref="D5:L5" si="1">C5 *1.1</f>
        <v>155045</v>
      </c>
      <c r="E5" s="4">
        <f t="shared" si="1"/>
        <v>170549.5</v>
      </c>
      <c r="F5" s="4">
        <f t="shared" si="1"/>
        <v>187604.45</v>
      </c>
      <c r="G5" s="4">
        <f t="shared" si="1"/>
        <v>206364.895</v>
      </c>
      <c r="H5" s="4">
        <f t="shared" si="1"/>
        <v>227001.3845</v>
      </c>
      <c r="I5" s="4">
        <f t="shared" si="1"/>
        <v>249701.523</v>
      </c>
      <c r="J5" s="4">
        <f t="shared" si="1"/>
        <v>274671.6752</v>
      </c>
      <c r="K5" s="4">
        <f t="shared" si="1"/>
        <v>302138.8428</v>
      </c>
      <c r="L5" s="4">
        <f t="shared" si="1"/>
        <v>332352.727</v>
      </c>
    </row>
    <row r="6">
      <c r="B6" s="3" t="s">
        <v>325</v>
      </c>
      <c r="C6" s="32">
        <f t="shared" ref="C6:L6" si="2">C3-C5</f>
        <v>33530</v>
      </c>
      <c r="D6" s="32">
        <f t="shared" si="2"/>
        <v>185191</v>
      </c>
      <c r="E6" s="32">
        <f t="shared" si="2"/>
        <v>428265.86</v>
      </c>
      <c r="F6" s="32">
        <f t="shared" si="2"/>
        <v>501033.214</v>
      </c>
      <c r="G6" s="32">
        <f t="shared" si="2"/>
        <v>1043525.49</v>
      </c>
      <c r="H6" s="32">
        <f t="shared" si="2"/>
        <v>1202968.474</v>
      </c>
      <c r="I6" s="32">
        <f t="shared" si="2"/>
        <v>1334861.041</v>
      </c>
      <c r="J6" s="32">
        <f t="shared" si="2"/>
        <v>1464483.594</v>
      </c>
      <c r="K6" s="32">
        <f t="shared" si="2"/>
        <v>1591609.132</v>
      </c>
      <c r="L6" s="32">
        <f t="shared" si="2"/>
        <v>1715987.954</v>
      </c>
    </row>
    <row r="7">
      <c r="B7" s="80" t="s">
        <v>326</v>
      </c>
      <c r="C7" s="81"/>
      <c r="D7" s="81"/>
      <c r="E7" s="81"/>
      <c r="F7" s="81"/>
      <c r="G7" s="81"/>
      <c r="H7" s="81"/>
      <c r="I7" s="81"/>
      <c r="J7" s="81"/>
      <c r="K7" s="81"/>
      <c r="L7" s="81"/>
    </row>
    <row r="8">
      <c r="B8" s="3" t="s">
        <v>327</v>
      </c>
      <c r="C8" s="4">
        <f>'Development Costs Non Recurrent'!H22</f>
        <v>366700</v>
      </c>
      <c r="D8" s="4">
        <f>(2/3) *C8</f>
        <v>244466.6667</v>
      </c>
      <c r="E8" s="4">
        <f>(1/20)*C8</f>
        <v>18335</v>
      </c>
      <c r="F8" s="82">
        <f>(1/60) *C8</f>
        <v>6111.666667</v>
      </c>
      <c r="G8" s="82">
        <f>(1/120) *C8</f>
        <v>3055.833333</v>
      </c>
      <c r="H8" s="82">
        <v>3000.0</v>
      </c>
      <c r="I8" s="82">
        <v>3000.0</v>
      </c>
      <c r="J8" s="82">
        <v>3000.0</v>
      </c>
      <c r="K8" s="82">
        <v>3000.0</v>
      </c>
      <c r="L8" s="82">
        <v>3000.0</v>
      </c>
    </row>
    <row r="9">
      <c r="B9" s="3" t="s">
        <v>328</v>
      </c>
      <c r="C9" s="32">
        <f>'Pricing Model'!B23</f>
        <v>158620.93</v>
      </c>
      <c r="D9" s="32">
        <f t="shared" ref="D9:L9" si="3">(1.1) *C9</f>
        <v>174483.023</v>
      </c>
      <c r="E9" s="32">
        <f t="shared" si="3"/>
        <v>191931.3253</v>
      </c>
      <c r="F9" s="32">
        <f t="shared" si="3"/>
        <v>211124.4578</v>
      </c>
      <c r="G9" s="32">
        <f t="shared" si="3"/>
        <v>232236.9036</v>
      </c>
      <c r="H9" s="32">
        <f t="shared" si="3"/>
        <v>255460.594</v>
      </c>
      <c r="I9" s="32">
        <f t="shared" si="3"/>
        <v>281006.6534</v>
      </c>
      <c r="J9" s="32">
        <f t="shared" si="3"/>
        <v>309107.3187</v>
      </c>
      <c r="K9" s="32">
        <f t="shared" si="3"/>
        <v>340018.0506</v>
      </c>
      <c r="L9" s="32">
        <f t="shared" si="3"/>
        <v>374019.8556</v>
      </c>
    </row>
    <row r="10">
      <c r="B10" s="3" t="s">
        <v>329</v>
      </c>
      <c r="C10" s="4">
        <f t="shared" ref="C10:L10" si="4">C8+C9</f>
        <v>525320.93</v>
      </c>
      <c r="D10" s="4">
        <f t="shared" si="4"/>
        <v>418949.6897</v>
      </c>
      <c r="E10" s="4">
        <f t="shared" si="4"/>
        <v>210266.3253</v>
      </c>
      <c r="F10" s="4">
        <f t="shared" si="4"/>
        <v>217236.1245</v>
      </c>
      <c r="G10" s="4">
        <f t="shared" si="4"/>
        <v>235292.7369</v>
      </c>
      <c r="H10" s="4">
        <f t="shared" si="4"/>
        <v>258460.594</v>
      </c>
      <c r="I10" s="4">
        <f t="shared" si="4"/>
        <v>284006.6534</v>
      </c>
      <c r="J10" s="4">
        <f t="shared" si="4"/>
        <v>312107.3187</v>
      </c>
      <c r="K10" s="4">
        <f t="shared" si="4"/>
        <v>343018.0506</v>
      </c>
      <c r="L10" s="4">
        <f t="shared" si="4"/>
        <v>377019.8556</v>
      </c>
    </row>
    <row r="11">
      <c r="B11" s="3" t="s">
        <v>330</v>
      </c>
      <c r="C11" s="32">
        <f t="shared" ref="C11:L11" si="5">C6-C10</f>
        <v>-491790.93</v>
      </c>
      <c r="D11" s="32">
        <f t="shared" si="5"/>
        <v>-233758.6897</v>
      </c>
      <c r="E11" s="32">
        <f t="shared" si="5"/>
        <v>217999.5347</v>
      </c>
      <c r="F11" s="32">
        <f t="shared" si="5"/>
        <v>283797.0895</v>
      </c>
      <c r="G11" s="32">
        <f t="shared" si="5"/>
        <v>808232.7527</v>
      </c>
      <c r="H11" s="32">
        <f t="shared" si="5"/>
        <v>944507.8802</v>
      </c>
      <c r="I11" s="32">
        <f t="shared" si="5"/>
        <v>1050854.388</v>
      </c>
      <c r="J11" s="32">
        <f t="shared" si="5"/>
        <v>1152376.276</v>
      </c>
      <c r="K11" s="32">
        <f t="shared" si="5"/>
        <v>1248591.082</v>
      </c>
      <c r="L11" s="32">
        <f t="shared" si="5"/>
        <v>1338968.098</v>
      </c>
    </row>
    <row r="12">
      <c r="B12" s="80" t="s">
        <v>331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</row>
    <row r="13">
      <c r="A13" s="23"/>
      <c r="B13" s="3" t="s">
        <v>332</v>
      </c>
      <c r="C13" s="23">
        <v>0.0</v>
      </c>
      <c r="D13" s="23">
        <v>0.0</v>
      </c>
      <c r="E13" s="32">
        <f t="shared" ref="E13:L13" si="6">E6 * 0.3</f>
        <v>128479.758</v>
      </c>
      <c r="F13" s="32">
        <f t="shared" si="6"/>
        <v>150309.9642</v>
      </c>
      <c r="G13" s="32">
        <f t="shared" si="6"/>
        <v>313057.6469</v>
      </c>
      <c r="H13" s="32">
        <f t="shared" si="6"/>
        <v>360890.5423</v>
      </c>
      <c r="I13" s="32">
        <f t="shared" si="6"/>
        <v>400458.3124</v>
      </c>
      <c r="J13" s="32">
        <f t="shared" si="6"/>
        <v>439345.0783</v>
      </c>
      <c r="K13" s="32">
        <f t="shared" si="6"/>
        <v>477482.7397</v>
      </c>
      <c r="L13" s="32">
        <f t="shared" si="6"/>
        <v>514796.3861</v>
      </c>
    </row>
    <row r="14">
      <c r="A14" s="23"/>
      <c r="B14" s="3" t="s">
        <v>333</v>
      </c>
      <c r="C14" s="32">
        <f t="shared" ref="C14:L14" si="7">C11-C13</f>
        <v>-491790.93</v>
      </c>
      <c r="D14" s="32">
        <f t="shared" si="7"/>
        <v>-233758.6897</v>
      </c>
      <c r="E14" s="32">
        <f t="shared" si="7"/>
        <v>89519.7767</v>
      </c>
      <c r="F14" s="32">
        <f t="shared" si="7"/>
        <v>133487.1253</v>
      </c>
      <c r="G14" s="32">
        <f t="shared" si="7"/>
        <v>495175.1058</v>
      </c>
      <c r="H14" s="32">
        <f t="shared" si="7"/>
        <v>583617.338</v>
      </c>
      <c r="I14" s="32">
        <f t="shared" si="7"/>
        <v>650396.0755</v>
      </c>
      <c r="J14" s="32">
        <f t="shared" si="7"/>
        <v>713031.1974</v>
      </c>
      <c r="K14" s="32">
        <f t="shared" si="7"/>
        <v>771108.3421</v>
      </c>
      <c r="L14" s="32">
        <f t="shared" si="7"/>
        <v>824171.712</v>
      </c>
    </row>
    <row r="17">
      <c r="B17" s="83" t="s">
        <v>334</v>
      </c>
    </row>
    <row r="18">
      <c r="C18" s="41">
        <v>2024.0</v>
      </c>
      <c r="D18" s="41">
        <v>2025.0</v>
      </c>
      <c r="E18" s="41">
        <v>2026.0</v>
      </c>
      <c r="F18" s="41">
        <v>2027.0</v>
      </c>
      <c r="G18" s="41">
        <v>2028.0</v>
      </c>
      <c r="H18" s="41">
        <v>2029.0</v>
      </c>
      <c r="I18" s="41">
        <v>2030.0</v>
      </c>
      <c r="J18" s="41">
        <v>2031.0</v>
      </c>
      <c r="K18" s="41">
        <v>2032.0</v>
      </c>
      <c r="L18" s="41">
        <v>2033.0</v>
      </c>
    </row>
    <row r="19">
      <c r="B19" s="80" t="s">
        <v>82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</row>
    <row r="20">
      <c r="B20" s="3" t="s">
        <v>322</v>
      </c>
      <c r="C20" s="32">
        <v>168980.0</v>
      </c>
      <c r="D20" s="32">
        <v>329511.0</v>
      </c>
      <c r="E20" s="32">
        <v>579945.6</v>
      </c>
      <c r="F20" s="32">
        <v>666937.44</v>
      </c>
      <c r="G20" s="32">
        <v>1204583.094</v>
      </c>
      <c r="H20" s="32">
        <v>1378134.8652</v>
      </c>
      <c r="I20" s="32">
        <v>1527123.738</v>
      </c>
      <c r="J20" s="32">
        <v>1676112.6108</v>
      </c>
      <c r="K20" s="32">
        <v>1825101.4836</v>
      </c>
      <c r="L20" s="32">
        <v>1974090.3564000002</v>
      </c>
    </row>
    <row r="21">
      <c r="B21" s="80" t="s">
        <v>323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</row>
    <row r="22">
      <c r="B22" s="3" t="s">
        <v>324</v>
      </c>
      <c r="C22" s="6">
        <v>140950.0</v>
      </c>
      <c r="D22" s="4">
        <v>155045.0</v>
      </c>
      <c r="E22" s="4">
        <v>170549.5</v>
      </c>
      <c r="F22" s="4">
        <v>187604.45</v>
      </c>
      <c r="G22" s="4">
        <v>206364.89500000002</v>
      </c>
      <c r="H22" s="4">
        <v>227001.38450000004</v>
      </c>
      <c r="I22" s="4">
        <v>249701.52295000007</v>
      </c>
      <c r="J22" s="4">
        <v>274671.6752450001</v>
      </c>
      <c r="K22" s="4">
        <v>302138.84276950016</v>
      </c>
      <c r="L22" s="4">
        <v>332352.7270464502</v>
      </c>
    </row>
    <row r="23">
      <c r="B23" s="3" t="s">
        <v>325</v>
      </c>
      <c r="C23" s="32">
        <v>28030.0</v>
      </c>
      <c r="D23" s="32">
        <v>174466.0</v>
      </c>
      <c r="E23" s="32">
        <v>409396.1</v>
      </c>
      <c r="F23" s="32">
        <v>479332.98999999993</v>
      </c>
      <c r="G23" s="32">
        <v>998218.199</v>
      </c>
      <c r="H23" s="32">
        <v>1151133.4806999997</v>
      </c>
      <c r="I23" s="32">
        <v>1277422.2150499998</v>
      </c>
      <c r="J23" s="32">
        <v>1401440.9355549999</v>
      </c>
      <c r="K23" s="32">
        <v>1522962.6408304998</v>
      </c>
      <c r="L23" s="32">
        <v>1641737.62935355</v>
      </c>
    </row>
    <row r="24">
      <c r="B24" s="80" t="s">
        <v>326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</row>
    <row r="25">
      <c r="B25" s="3" t="s">
        <v>327</v>
      </c>
      <c r="C25" s="4">
        <v>366700.0</v>
      </c>
      <c r="D25" s="4">
        <v>244466.66666666666</v>
      </c>
      <c r="E25" s="4">
        <v>18335.0</v>
      </c>
      <c r="F25" s="82">
        <v>6111.666666666667</v>
      </c>
      <c r="G25" s="82">
        <v>3055.8333333333335</v>
      </c>
      <c r="H25" s="82">
        <v>3000.0</v>
      </c>
      <c r="I25" s="82">
        <v>3000.0</v>
      </c>
      <c r="J25" s="82">
        <v>3000.0</v>
      </c>
      <c r="K25" s="82">
        <v>3000.0</v>
      </c>
      <c r="L25" s="82">
        <v>3000.0</v>
      </c>
    </row>
    <row r="26">
      <c r="B26" s="3" t="s">
        <v>328</v>
      </c>
      <c r="C26" s="32">
        <v>153620.93</v>
      </c>
      <c r="D26" s="32">
        <v>168983.02300000002</v>
      </c>
      <c r="E26" s="32">
        <v>185881.32530000003</v>
      </c>
      <c r="F26" s="32">
        <v>204469.45783000006</v>
      </c>
      <c r="G26" s="32">
        <v>224916.4036130001</v>
      </c>
      <c r="H26" s="32">
        <v>247408.04397430012</v>
      </c>
      <c r="I26" s="32">
        <v>272148.8483717301</v>
      </c>
      <c r="J26" s="32">
        <v>299363.73320890317</v>
      </c>
      <c r="K26" s="32">
        <v>329300.1065297935</v>
      </c>
      <c r="L26" s="32">
        <v>362230.1171827729</v>
      </c>
    </row>
    <row r="27">
      <c r="B27" s="3" t="s">
        <v>329</v>
      </c>
      <c r="C27" s="4">
        <v>520320.93</v>
      </c>
      <c r="D27" s="4">
        <v>413449.6896666667</v>
      </c>
      <c r="E27" s="4">
        <v>204216.32530000003</v>
      </c>
      <c r="F27" s="4">
        <v>210581.1244966667</v>
      </c>
      <c r="G27" s="4">
        <v>227972.23694633343</v>
      </c>
      <c r="H27" s="4">
        <v>250408.04397430012</v>
      </c>
      <c r="I27" s="4">
        <v>275148.8483717301</v>
      </c>
      <c r="J27" s="4">
        <v>302363.73320890317</v>
      </c>
      <c r="K27" s="4">
        <v>332300.1065297935</v>
      </c>
      <c r="L27" s="4">
        <v>365230.1171827729</v>
      </c>
    </row>
    <row r="28">
      <c r="B28" s="3" t="s">
        <v>330</v>
      </c>
      <c r="C28" s="32">
        <v>-492290.93</v>
      </c>
      <c r="D28" s="32">
        <v>-238983.68966666667</v>
      </c>
      <c r="E28" s="32">
        <v>205179.77469999995</v>
      </c>
      <c r="F28" s="32">
        <v>268751.8655033332</v>
      </c>
      <c r="G28" s="32">
        <v>770245.9620536666</v>
      </c>
      <c r="H28" s="32">
        <v>900725.4367256996</v>
      </c>
      <c r="I28" s="32">
        <v>1002273.3666782696</v>
      </c>
      <c r="J28" s="32">
        <v>1099077.2023460967</v>
      </c>
      <c r="K28" s="32">
        <v>1190662.5343007063</v>
      </c>
      <c r="L28" s="32">
        <v>1276507.5121707772</v>
      </c>
    </row>
    <row r="29">
      <c r="B29" s="80" t="s">
        <v>331</v>
      </c>
      <c r="C29" s="81"/>
      <c r="D29" s="81"/>
      <c r="E29" s="81"/>
      <c r="F29" s="81"/>
      <c r="G29" s="81"/>
      <c r="H29" s="81"/>
      <c r="I29" s="81"/>
      <c r="J29" s="81"/>
      <c r="K29" s="81"/>
      <c r="L29" s="81"/>
    </row>
    <row r="30">
      <c r="B30" s="3" t="s">
        <v>332</v>
      </c>
      <c r="C30" s="23">
        <v>0.0</v>
      </c>
      <c r="D30" s="23">
        <v>0.0</v>
      </c>
      <c r="E30" s="32">
        <v>122818.82999999999</v>
      </c>
      <c r="F30" s="32">
        <v>143799.89699999997</v>
      </c>
      <c r="G30" s="32">
        <v>299465.4597</v>
      </c>
      <c r="H30" s="32">
        <v>345340.0442099999</v>
      </c>
      <c r="I30" s="32">
        <v>383226.6645149999</v>
      </c>
      <c r="J30" s="32">
        <v>420432.2806664999</v>
      </c>
      <c r="K30" s="32">
        <v>456888.79224914993</v>
      </c>
      <c r="L30" s="32">
        <v>492521.288806065</v>
      </c>
    </row>
    <row r="31">
      <c r="B31" s="23" t="s">
        <v>333</v>
      </c>
      <c r="C31" s="32">
        <v>-492290.93</v>
      </c>
      <c r="D31" s="32">
        <v>-238983.68966666667</v>
      </c>
      <c r="E31" s="32">
        <v>82360.94469999996</v>
      </c>
      <c r="F31" s="32">
        <v>124951.96850333325</v>
      </c>
      <c r="G31" s="32">
        <v>470780.5023536666</v>
      </c>
      <c r="H31" s="32">
        <v>555385.3925156996</v>
      </c>
      <c r="I31" s="32">
        <v>619046.7021632697</v>
      </c>
      <c r="J31" s="32">
        <v>678644.9216795969</v>
      </c>
      <c r="K31" s="32">
        <v>733773.7420515565</v>
      </c>
      <c r="L31" s="32">
        <v>783986.2233647122</v>
      </c>
    </row>
    <row r="34">
      <c r="K34" s="23" t="s">
        <v>335</v>
      </c>
      <c r="L34" s="32">
        <f>SUM(C20:L20)</f>
        <v>11330520.19</v>
      </c>
    </row>
    <row r="35">
      <c r="K35" s="23" t="s">
        <v>336</v>
      </c>
      <c r="L35" s="24">
        <f>'Capital Budgeting Analysis'!L5/L34</f>
        <v>0.3119854159</v>
      </c>
    </row>
  </sheetData>
  <mergeCells count="1">
    <mergeCell ref="B17:L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0.1" defaultRowHeight="15.0"/>
  <cols>
    <col customWidth="1" min="1" max="1" width="29.4"/>
    <col customWidth="1" min="2" max="2" width="28.2"/>
    <col customWidth="1" min="3" max="3" width="27.4"/>
  </cols>
  <sheetData>
    <row r="1">
      <c r="A1" s="2" t="s">
        <v>337</v>
      </c>
    </row>
    <row r="2">
      <c r="A2" s="3"/>
      <c r="B2" s="3"/>
    </row>
    <row r="3">
      <c r="A3" s="2" t="s">
        <v>338</v>
      </c>
      <c r="B3" s="2" t="s">
        <v>339</v>
      </c>
    </row>
    <row r="4">
      <c r="A4" s="3" t="s">
        <v>340</v>
      </c>
      <c r="B4" s="4">
        <f>SUM('Income Statement'!C3:L3)</f>
        <v>11747835.76</v>
      </c>
    </row>
    <row r="5">
      <c r="A5" s="3" t="s">
        <v>341</v>
      </c>
      <c r="B5" s="4">
        <f>SUM('Income Statement'!C11:L11)</f>
        <v>6319777.481</v>
      </c>
    </row>
    <row r="6">
      <c r="A6" s="3" t="s">
        <v>342</v>
      </c>
      <c r="B6" s="84">
        <f>B5/B4</f>
        <v>0.5379524886</v>
      </c>
    </row>
    <row r="7">
      <c r="D7" s="4"/>
    </row>
    <row r="8">
      <c r="A8" s="3" t="s">
        <v>343</v>
      </c>
      <c r="B8" s="3">
        <v>12.67</v>
      </c>
    </row>
    <row r="9">
      <c r="A9" s="3" t="s">
        <v>344</v>
      </c>
      <c r="B9" s="4">
        <f>B8*B5</f>
        <v>80071580.68</v>
      </c>
    </row>
    <row r="11">
      <c r="A11" s="3" t="s">
        <v>345</v>
      </c>
      <c r="B11" s="4">
        <v>2400000.0</v>
      </c>
    </row>
    <row r="13">
      <c r="A13" s="3" t="s">
        <v>346</v>
      </c>
      <c r="B13" s="4">
        <v>500000.0</v>
      </c>
    </row>
    <row r="15">
      <c r="A15" s="2" t="s">
        <v>347</v>
      </c>
      <c r="B15" s="85">
        <f>B9-B11+B13</f>
        <v>78171580.68</v>
      </c>
    </row>
    <row r="19">
      <c r="A19" s="2" t="s">
        <v>337</v>
      </c>
    </row>
    <row r="20">
      <c r="A20" s="3"/>
      <c r="B20" s="3"/>
    </row>
    <row r="21">
      <c r="A21" s="2" t="s">
        <v>338</v>
      </c>
      <c r="B21" s="2" t="s">
        <v>339</v>
      </c>
    </row>
    <row r="22">
      <c r="A22" s="3" t="s">
        <v>340</v>
      </c>
      <c r="B22" s="4">
        <v>1.1330520188E7</v>
      </c>
    </row>
    <row r="23">
      <c r="A23" s="3" t="s">
        <v>341</v>
      </c>
      <c r="B23" s="4">
        <v>5982149.034811882</v>
      </c>
    </row>
    <row r="24">
      <c r="A24" s="3" t="s">
        <v>342</v>
      </c>
      <c r="B24" s="84">
        <v>0.5279677310091637</v>
      </c>
    </row>
    <row r="26">
      <c r="A26" s="3" t="s">
        <v>343</v>
      </c>
      <c r="B26" s="3">
        <v>12.67</v>
      </c>
    </row>
    <row r="27">
      <c r="A27" s="3" t="s">
        <v>344</v>
      </c>
      <c r="B27" s="4">
        <v>7.579382827106655E7</v>
      </c>
    </row>
    <row r="29">
      <c r="A29" s="3" t="s">
        <v>345</v>
      </c>
      <c r="B29" s="4">
        <v>2400000.0</v>
      </c>
    </row>
    <row r="31">
      <c r="A31" s="3" t="s">
        <v>346</v>
      </c>
      <c r="B31" s="4">
        <v>500000.0</v>
      </c>
    </row>
    <row r="33">
      <c r="A33" s="2" t="s">
        <v>347</v>
      </c>
      <c r="B33" s="85">
        <v>7.389382827106655E7</v>
      </c>
    </row>
    <row r="36">
      <c r="A36" s="2" t="s">
        <v>348</v>
      </c>
      <c r="B36" s="24">
        <f>(100/B15)*'Cash Flow Statement'!C16</f>
        <v>0.1857452526</v>
      </c>
    </row>
    <row r="37">
      <c r="A37" s="2" t="s">
        <v>349</v>
      </c>
      <c r="B37" s="3">
        <v>5.0</v>
      </c>
    </row>
    <row r="38">
      <c r="A38" s="2" t="s">
        <v>350</v>
      </c>
      <c r="B38" s="4">
        <f>(B15/100)*B37</f>
        <v>3908579.034</v>
      </c>
    </row>
    <row r="39">
      <c r="A39" s="2" t="s">
        <v>351</v>
      </c>
      <c r="B39" s="31">
        <f>('Cash Flow Statement'!C16/B37)*100</f>
        <v>2904000</v>
      </c>
    </row>
    <row r="40">
      <c r="A40" s="68" t="s">
        <v>352</v>
      </c>
      <c r="B40" s="30">
        <f>'Capital Budgeting Analysis'!L5/B39</f>
        <v>1.217271713</v>
      </c>
    </row>
  </sheetData>
  <mergeCells count="2">
    <mergeCell ref="A1:B1"/>
    <mergeCell ref="A19:B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14.6"/>
    <col customWidth="1" min="2" max="2" width="16.2"/>
    <col customWidth="1" min="3" max="3" width="8.8"/>
    <col customWidth="1" min="4" max="7" width="8.0"/>
    <col customWidth="1" min="8" max="8" width="7.5"/>
    <col customWidth="1" min="9" max="12" width="8.8"/>
  </cols>
  <sheetData>
    <row r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>
      <c r="A2" s="86"/>
      <c r="B2" s="87" t="s">
        <v>353</v>
      </c>
      <c r="C2" s="88"/>
      <c r="D2" s="88"/>
      <c r="E2" s="88"/>
      <c r="F2" s="88"/>
      <c r="G2" s="88"/>
      <c r="H2" s="88"/>
      <c r="I2" s="88"/>
      <c r="J2" s="88"/>
      <c r="K2" s="88"/>
      <c r="L2" s="89"/>
    </row>
    <row r="3">
      <c r="A3" s="2"/>
      <c r="B3" s="90" t="s">
        <v>76</v>
      </c>
      <c r="C3" s="91">
        <v>0.0</v>
      </c>
      <c r="D3" s="91">
        <v>1.0</v>
      </c>
      <c r="E3" s="91">
        <v>2.0</v>
      </c>
      <c r="F3" s="91">
        <v>3.0</v>
      </c>
      <c r="G3" s="91">
        <v>4.0</v>
      </c>
      <c r="H3" s="91">
        <v>5.0</v>
      </c>
      <c r="I3" s="91">
        <v>6.0</v>
      </c>
      <c r="J3" s="91">
        <v>7.0</v>
      </c>
      <c r="K3" s="91">
        <v>8.0</v>
      </c>
      <c r="L3" s="92">
        <v>9.0</v>
      </c>
    </row>
    <row r="4">
      <c r="A4" s="2"/>
      <c r="B4" s="93" t="s">
        <v>354</v>
      </c>
      <c r="C4" s="94">
        <f>'Income Statement'!C14</f>
        <v>-491790.93</v>
      </c>
      <c r="D4" s="94">
        <f>'Income Statement'!D14</f>
        <v>-233758.6897</v>
      </c>
      <c r="E4" s="94">
        <f>'Income Statement'!E14</f>
        <v>89519.7767</v>
      </c>
      <c r="F4" s="94">
        <f>'Income Statement'!F14</f>
        <v>133487.1253</v>
      </c>
      <c r="G4" s="94">
        <f>'Income Statement'!G14</f>
        <v>495175.1058</v>
      </c>
      <c r="H4" s="94">
        <f>'Income Statement'!H14</f>
        <v>583617.338</v>
      </c>
      <c r="I4" s="94">
        <f>'Income Statement'!I14</f>
        <v>650396.0755</v>
      </c>
      <c r="J4" s="94">
        <f>'Income Statement'!J14</f>
        <v>713031.1974</v>
      </c>
      <c r="K4" s="94">
        <f>'Income Statement'!K14</f>
        <v>771108.3421</v>
      </c>
      <c r="L4" s="95">
        <f>'Income Statement'!L14</f>
        <v>824171.712</v>
      </c>
    </row>
    <row r="5">
      <c r="A5" s="2"/>
      <c r="B5" s="45" t="s">
        <v>355</v>
      </c>
      <c r="C5" s="94">
        <f>'Income Statement'!C14</f>
        <v>-491790.93</v>
      </c>
      <c r="D5" s="94">
        <f t="shared" ref="D5:L5" si="1">C5+D4</f>
        <v>-725549.6197</v>
      </c>
      <c r="E5" s="94">
        <f t="shared" si="1"/>
        <v>-636029.843</v>
      </c>
      <c r="F5" s="94">
        <f t="shared" si="1"/>
        <v>-502542.7177</v>
      </c>
      <c r="G5" s="94">
        <f t="shared" si="1"/>
        <v>-7367.61189</v>
      </c>
      <c r="H5" s="94">
        <f t="shared" si="1"/>
        <v>576249.7261</v>
      </c>
      <c r="I5" s="94">
        <f t="shared" si="1"/>
        <v>1226645.802</v>
      </c>
      <c r="J5" s="94">
        <f t="shared" si="1"/>
        <v>1939676.999</v>
      </c>
      <c r="K5" s="94">
        <f t="shared" si="1"/>
        <v>2710785.341</v>
      </c>
      <c r="L5" s="95">
        <f t="shared" si="1"/>
        <v>3534957.053</v>
      </c>
    </row>
    <row r="6">
      <c r="A6" s="2"/>
      <c r="B6" s="96" t="s">
        <v>356</v>
      </c>
      <c r="C6" s="97">
        <f t="array" ref="C6">NPV(C7, E4:L4)+C4+D4</f>
        <v>1823317.82</v>
      </c>
      <c r="D6" s="98"/>
      <c r="E6" s="98"/>
      <c r="F6" s="99"/>
      <c r="G6" s="100" t="s">
        <v>357</v>
      </c>
      <c r="H6" s="101">
        <f>IRR(C4:L4)</f>
        <v>0.364466722</v>
      </c>
      <c r="I6" s="98"/>
      <c r="J6" s="98"/>
      <c r="K6" s="98"/>
      <c r="L6" s="102"/>
    </row>
    <row r="7">
      <c r="A7" s="2"/>
      <c r="B7" s="2" t="s">
        <v>358</v>
      </c>
      <c r="C7" s="3">
        <v>0.1</v>
      </c>
    </row>
    <row r="8">
      <c r="A8" s="2"/>
      <c r="B8" s="2" t="s">
        <v>359</v>
      </c>
      <c r="C8" s="103">
        <f t="shared" ref="C8:L8" si="2">C4/((1+$C$7)^C3)</f>
        <v>-491790.93</v>
      </c>
      <c r="D8" s="103">
        <f t="shared" si="2"/>
        <v>-212507.8997</v>
      </c>
      <c r="E8" s="103">
        <f t="shared" si="2"/>
        <v>73983.28653</v>
      </c>
      <c r="F8" s="103">
        <f t="shared" si="2"/>
        <v>100290.853</v>
      </c>
      <c r="G8" s="103">
        <f t="shared" si="2"/>
        <v>338211.26</v>
      </c>
      <c r="H8" s="103">
        <f t="shared" si="2"/>
        <v>362380.4496</v>
      </c>
      <c r="I8" s="103">
        <f t="shared" si="2"/>
        <v>367131.6288</v>
      </c>
      <c r="J8" s="103">
        <f t="shared" si="2"/>
        <v>365897.7475</v>
      </c>
      <c r="K8" s="103">
        <f t="shared" si="2"/>
        <v>359727.7326</v>
      </c>
      <c r="L8" s="103">
        <f t="shared" si="2"/>
        <v>349529.2602</v>
      </c>
    </row>
    <row r="9">
      <c r="A9" s="2"/>
      <c r="B9" s="2" t="s">
        <v>360</v>
      </c>
      <c r="C9" s="103">
        <f>C8</f>
        <v>-491790.93</v>
      </c>
      <c r="D9" s="103">
        <f t="shared" ref="D9:L9" si="3">C9+D8</f>
        <v>-704298.8297</v>
      </c>
      <c r="E9" s="103">
        <f t="shared" si="3"/>
        <v>-630315.5432</v>
      </c>
      <c r="F9" s="103">
        <f t="shared" si="3"/>
        <v>-530024.6902</v>
      </c>
      <c r="G9" s="103">
        <f t="shared" si="3"/>
        <v>-191813.4302</v>
      </c>
      <c r="H9" s="103">
        <f t="shared" si="3"/>
        <v>170567.0194</v>
      </c>
      <c r="I9" s="103">
        <f t="shared" si="3"/>
        <v>537698.6483</v>
      </c>
      <c r="J9" s="103">
        <f t="shared" si="3"/>
        <v>903596.3958</v>
      </c>
      <c r="K9" s="103">
        <f t="shared" si="3"/>
        <v>1263324.128</v>
      </c>
      <c r="L9" s="103">
        <f t="shared" si="3"/>
        <v>1612853.389</v>
      </c>
    </row>
    <row r="10">
      <c r="A10" s="2"/>
      <c r="B10" s="2" t="s">
        <v>356</v>
      </c>
    </row>
    <row r="11">
      <c r="A11" s="2"/>
      <c r="B11" s="2" t="s">
        <v>357</v>
      </c>
    </row>
    <row r="12">
      <c r="A12" s="2"/>
      <c r="B12" s="68" t="s">
        <v>352</v>
      </c>
    </row>
  </sheetData>
  <mergeCells count="4">
    <mergeCell ref="B2:L2"/>
    <mergeCell ref="C6:F6"/>
    <mergeCell ref="H6:L6"/>
    <mergeCell ref="C12:L12"/>
  </mergeCells>
  <conditionalFormatting sqref="M5:M6 G6 D7 E7:G7 M9:M10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C4:L5">
    <cfRule type="colorScale" priority="2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42.5"/>
  </cols>
  <sheetData>
    <row r="1">
      <c r="A1" s="23" t="s">
        <v>361</v>
      </c>
      <c r="B1" s="104">
        <v>0.7</v>
      </c>
      <c r="C1" s="23" t="s">
        <v>362</v>
      </c>
    </row>
    <row r="2">
      <c r="A2" s="23" t="s">
        <v>363</v>
      </c>
      <c r="B2" s="104">
        <v>0.28</v>
      </c>
      <c r="C2" s="23" t="s">
        <v>364</v>
      </c>
    </row>
    <row r="3">
      <c r="A3" s="23" t="s">
        <v>365</v>
      </c>
      <c r="B3" s="104">
        <v>0.02</v>
      </c>
    </row>
  </sheetData>
  <drawing r:id="rId1"/>
</worksheet>
</file>